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lenovo\Downloads\DA FOLDER\SA Analytics\Completed Projects\"/>
    </mc:Choice>
  </mc:AlternateContent>
  <xr:revisionPtr revIDLastSave="0" documentId="13_ncr:1_{1FD7D81F-D4A1-4E29-B112-E099714DAFE6}" xr6:coauthVersionLast="47" xr6:coauthVersionMax="47" xr10:uidLastSave="{00000000-0000-0000-0000-000000000000}"/>
  <bookViews>
    <workbookView xWindow="-110" yWindow="-110" windowWidth="19420" windowHeight="10300" activeTab="2" xr2:uid="{7BDEF7EC-7891-4993-8F5B-1461109B2E2D}"/>
  </bookViews>
  <sheets>
    <sheet name="Pivot Table-Data Summerization" sheetId="3" r:id="rId1"/>
    <sheet name="July_2023_Sales_Dataset" sheetId="2" r:id="rId2"/>
    <sheet name="Dashboard" sheetId="1" r:id="rId3"/>
  </sheets>
  <definedNames>
    <definedName name="_xlcn.WorksheetConnection_Book1July_2023_Sales_Dataset1" hidden="1">July_2023_Sales_Dataset[]</definedName>
    <definedName name="ExternalData_1" localSheetId="1" hidden="1">July_2023_Sales_Dataset!$A$1:$J$194</definedName>
    <definedName name="Slicer_Client_Gender">#N/A</definedName>
    <definedName name="Slicer_Inspection">#N/A</definedName>
    <definedName name="Slicer_Product">#N/A</definedName>
    <definedName name="Slicer_Sales">#N/A</definedName>
    <definedName name="Slicer_Sales_Person">#N/A</definedName>
    <definedName name="Slicer_State">#N/A</definedName>
  </definedNames>
  <calcPr calcId="191029"/>
  <pivotCaches>
    <pivotCache cacheId="7" r:id="rId4"/>
    <pivotCache cacheId="8" r:id="rId5"/>
    <pivotCache cacheId="9" r:id="rId6"/>
    <pivotCache cacheId="10" r:id="rId7"/>
    <pivotCache cacheId="11" r:id="rId8"/>
    <pivotCache cacheId="12" r:id="rId9"/>
    <pivotCache cacheId="13" r:id="rId10"/>
    <pivotCache cacheId="14" r:id="rId11"/>
  </pivotCaches>
  <extLst>
    <ext xmlns:x14="http://schemas.microsoft.com/office/spreadsheetml/2009/9/main" uri="{876F7934-8845-4945-9796-88D515C7AA90}">
      <x14:pivotCaches>
        <pivotCache cacheId="15" r:id="rId12"/>
      </x14:pivotCaches>
    </ex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July_2023_Sales_Dataset" name="July_2023_Sales_Dataset" connection="WorksheetConnection_Book1!July_2023_Sales_Datase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CA839E-EE58-4325-978C-10821E7B65CC}" keepAlive="1" name="Query - July_2023_Sales_Dataset" description="Connection to the 'July_2023_Sales_Dataset' query in the workbook." type="5" refreshedVersion="8" background="1" saveData="1">
    <dbPr connection="Provider=Microsoft.Mashup.OleDb.1;Data Source=$Workbook$;Location=July_2023_Sales_Dataset;Extended Properties=&quot;&quot;" command="SELECT * FROM [July_2023_Sales_Dataset]"/>
  </connection>
  <connection id="2" xr16:uid="{64993075-1C48-43E5-8F66-164A3E8FD6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1A5B698-54A5-4614-B564-349CF7653C7F}" name="WorksheetConnection_Book1!July_2023_Sales_Dataset" type="102" refreshedVersion="8" minRefreshableVersion="5">
    <extLst>
      <ext xmlns:x15="http://schemas.microsoft.com/office/spreadsheetml/2010/11/main" uri="{DE250136-89BD-433C-8126-D09CA5730AF9}">
        <x15:connection id="July_2023_Sales_Dataset" autoDelete="1">
          <x15:rangePr sourceName="_xlcn.WorksheetConnection_Book1July_2023_Sales_Dataset1"/>
        </x15:connection>
      </ext>
    </extLst>
  </connection>
</connections>
</file>

<file path=xl/sharedStrings.xml><?xml version="1.0" encoding="utf-8"?>
<sst xmlns="http://schemas.openxmlformats.org/spreadsheetml/2006/main" count="1800" uniqueCount="230">
  <si>
    <t>Client ID</t>
  </si>
  <si>
    <t>Client Gender</t>
  </si>
  <si>
    <t>Sales Person</t>
  </si>
  <si>
    <t>Date Given</t>
  </si>
  <si>
    <t>Sales</t>
  </si>
  <si>
    <t>State</t>
  </si>
  <si>
    <t>Product</t>
  </si>
  <si>
    <t>Inspection</t>
  </si>
  <si>
    <t>J1</t>
  </si>
  <si>
    <t>Female</t>
  </si>
  <si>
    <t>Chukwudi</t>
  </si>
  <si>
    <t>Not Interested</t>
  </si>
  <si>
    <t>Lagos</t>
  </si>
  <si>
    <t>Commercial</t>
  </si>
  <si>
    <t>Yes</t>
  </si>
  <si>
    <t>J2</t>
  </si>
  <si>
    <t>Ngozi</t>
  </si>
  <si>
    <t>Too Expensive</t>
  </si>
  <si>
    <t>Industrial</t>
  </si>
  <si>
    <t>J3</t>
  </si>
  <si>
    <t>Paid</t>
  </si>
  <si>
    <t>PH</t>
  </si>
  <si>
    <t>Residential</t>
  </si>
  <si>
    <t>J4</t>
  </si>
  <si>
    <t>No</t>
  </si>
  <si>
    <t>J5</t>
  </si>
  <si>
    <t>Male</t>
  </si>
  <si>
    <t>Funmi</t>
  </si>
  <si>
    <t>J6</t>
  </si>
  <si>
    <t>Ahmed</t>
  </si>
  <si>
    <t>J7</t>
  </si>
  <si>
    <t>J8</t>
  </si>
  <si>
    <t>Next Time</t>
  </si>
  <si>
    <t>J9</t>
  </si>
  <si>
    <t>J10</t>
  </si>
  <si>
    <t>J11</t>
  </si>
  <si>
    <t>J12</t>
  </si>
  <si>
    <t>Olumide</t>
  </si>
  <si>
    <t>J13</t>
  </si>
  <si>
    <t>J14</t>
  </si>
  <si>
    <t>J15</t>
  </si>
  <si>
    <t>J16</t>
  </si>
  <si>
    <t>J17</t>
  </si>
  <si>
    <t>J18</t>
  </si>
  <si>
    <t>J19</t>
  </si>
  <si>
    <t>J20</t>
  </si>
  <si>
    <t>J21</t>
  </si>
  <si>
    <t>J22</t>
  </si>
  <si>
    <t>J23</t>
  </si>
  <si>
    <t>Chioma</t>
  </si>
  <si>
    <t>J24</t>
  </si>
  <si>
    <t>J25</t>
  </si>
  <si>
    <t>J26</t>
  </si>
  <si>
    <t>J27</t>
  </si>
  <si>
    <t>J28</t>
  </si>
  <si>
    <t>J29</t>
  </si>
  <si>
    <t>J30</t>
  </si>
  <si>
    <t>J31</t>
  </si>
  <si>
    <t>J32</t>
  </si>
  <si>
    <t>J33</t>
  </si>
  <si>
    <t>J34</t>
  </si>
  <si>
    <t>J35</t>
  </si>
  <si>
    <t>J36</t>
  </si>
  <si>
    <t>J37</t>
  </si>
  <si>
    <t>J38</t>
  </si>
  <si>
    <t>J39</t>
  </si>
  <si>
    <t>J40</t>
  </si>
  <si>
    <t>J41</t>
  </si>
  <si>
    <t>J42</t>
  </si>
  <si>
    <t>J43</t>
  </si>
  <si>
    <t>J44</t>
  </si>
  <si>
    <t>J45</t>
  </si>
  <si>
    <t>J46</t>
  </si>
  <si>
    <t>J47</t>
  </si>
  <si>
    <t>J48</t>
  </si>
  <si>
    <t>J49</t>
  </si>
  <si>
    <t>J50</t>
  </si>
  <si>
    <t>J51</t>
  </si>
  <si>
    <t>J52</t>
  </si>
  <si>
    <t>J53</t>
  </si>
  <si>
    <t>J54</t>
  </si>
  <si>
    <t>J55</t>
  </si>
  <si>
    <t>J56</t>
  </si>
  <si>
    <t>J57</t>
  </si>
  <si>
    <t>J58</t>
  </si>
  <si>
    <t>J59</t>
  </si>
  <si>
    <t>J60</t>
  </si>
  <si>
    <t>J61</t>
  </si>
  <si>
    <t>J62</t>
  </si>
  <si>
    <t>J63</t>
  </si>
  <si>
    <t>J64</t>
  </si>
  <si>
    <t>J65</t>
  </si>
  <si>
    <t>J66</t>
  </si>
  <si>
    <t>J67</t>
  </si>
  <si>
    <t>J68</t>
  </si>
  <si>
    <t>J69</t>
  </si>
  <si>
    <t>J70</t>
  </si>
  <si>
    <t>J71</t>
  </si>
  <si>
    <t>J72</t>
  </si>
  <si>
    <t>J73</t>
  </si>
  <si>
    <t>J74</t>
  </si>
  <si>
    <t>J75</t>
  </si>
  <si>
    <t>J76</t>
  </si>
  <si>
    <t>J77</t>
  </si>
  <si>
    <t>J78</t>
  </si>
  <si>
    <t>J79</t>
  </si>
  <si>
    <t>J80</t>
  </si>
  <si>
    <t>J81</t>
  </si>
  <si>
    <t>J82</t>
  </si>
  <si>
    <t>J83</t>
  </si>
  <si>
    <t>J84</t>
  </si>
  <si>
    <t>J85</t>
  </si>
  <si>
    <t>J86</t>
  </si>
  <si>
    <t>J87</t>
  </si>
  <si>
    <t>J88</t>
  </si>
  <si>
    <t>J89</t>
  </si>
  <si>
    <t>J90</t>
  </si>
  <si>
    <t>J91</t>
  </si>
  <si>
    <t>J92</t>
  </si>
  <si>
    <t>J93</t>
  </si>
  <si>
    <t>J94</t>
  </si>
  <si>
    <t>J95</t>
  </si>
  <si>
    <t>J96</t>
  </si>
  <si>
    <t>J97</t>
  </si>
  <si>
    <t>J98</t>
  </si>
  <si>
    <t>J99</t>
  </si>
  <si>
    <t>J100</t>
  </si>
  <si>
    <t>J101</t>
  </si>
  <si>
    <t>J102</t>
  </si>
  <si>
    <t>J103</t>
  </si>
  <si>
    <t>J104</t>
  </si>
  <si>
    <t>J105</t>
  </si>
  <si>
    <t>J106</t>
  </si>
  <si>
    <t>J107</t>
  </si>
  <si>
    <t>J108</t>
  </si>
  <si>
    <t>J109</t>
  </si>
  <si>
    <t>J110</t>
  </si>
  <si>
    <t>J111</t>
  </si>
  <si>
    <t>J112</t>
  </si>
  <si>
    <t>J113</t>
  </si>
  <si>
    <t>J114</t>
  </si>
  <si>
    <t>J115</t>
  </si>
  <si>
    <t>J116</t>
  </si>
  <si>
    <t>J117</t>
  </si>
  <si>
    <t>J118</t>
  </si>
  <si>
    <t>J119</t>
  </si>
  <si>
    <t>J120</t>
  </si>
  <si>
    <t>J121</t>
  </si>
  <si>
    <t>J122</t>
  </si>
  <si>
    <t>J123</t>
  </si>
  <si>
    <t>J124</t>
  </si>
  <si>
    <t>J125</t>
  </si>
  <si>
    <t>J126</t>
  </si>
  <si>
    <t>J127</t>
  </si>
  <si>
    <t>J128</t>
  </si>
  <si>
    <t>J129</t>
  </si>
  <si>
    <t>J130</t>
  </si>
  <si>
    <t>J131</t>
  </si>
  <si>
    <t>J132</t>
  </si>
  <si>
    <t>J133</t>
  </si>
  <si>
    <t>J134</t>
  </si>
  <si>
    <t>J135</t>
  </si>
  <si>
    <t>J136</t>
  </si>
  <si>
    <t>J137</t>
  </si>
  <si>
    <t>J138</t>
  </si>
  <si>
    <t>J139</t>
  </si>
  <si>
    <t>J140</t>
  </si>
  <si>
    <t>J141</t>
  </si>
  <si>
    <t>J142</t>
  </si>
  <si>
    <t>J143</t>
  </si>
  <si>
    <t>J144</t>
  </si>
  <si>
    <t>J145</t>
  </si>
  <si>
    <t>J146</t>
  </si>
  <si>
    <t>J147</t>
  </si>
  <si>
    <t>J148</t>
  </si>
  <si>
    <t>J149</t>
  </si>
  <si>
    <t>J150</t>
  </si>
  <si>
    <t>J151</t>
  </si>
  <si>
    <t>J152</t>
  </si>
  <si>
    <t>J153</t>
  </si>
  <si>
    <t>J154</t>
  </si>
  <si>
    <t>J155</t>
  </si>
  <si>
    <t>J156</t>
  </si>
  <si>
    <t>J157</t>
  </si>
  <si>
    <t>J158</t>
  </si>
  <si>
    <t>J159</t>
  </si>
  <si>
    <t>J160</t>
  </si>
  <si>
    <t>J161</t>
  </si>
  <si>
    <t>J162</t>
  </si>
  <si>
    <t>J163</t>
  </si>
  <si>
    <t>J164</t>
  </si>
  <si>
    <t>J165</t>
  </si>
  <si>
    <t>J166</t>
  </si>
  <si>
    <t>J167</t>
  </si>
  <si>
    <t>J168</t>
  </si>
  <si>
    <t>J169</t>
  </si>
  <si>
    <t>J170</t>
  </si>
  <si>
    <t>J171</t>
  </si>
  <si>
    <t>J172</t>
  </si>
  <si>
    <t>J173</t>
  </si>
  <si>
    <t>J174</t>
  </si>
  <si>
    <t>J175</t>
  </si>
  <si>
    <t>J176</t>
  </si>
  <si>
    <t>J177</t>
  </si>
  <si>
    <t>J178</t>
  </si>
  <si>
    <t>J179</t>
  </si>
  <si>
    <t>J180</t>
  </si>
  <si>
    <t>J181</t>
  </si>
  <si>
    <t>J182</t>
  </si>
  <si>
    <t>J183</t>
  </si>
  <si>
    <t>J184</t>
  </si>
  <si>
    <t>J185</t>
  </si>
  <si>
    <t>J186</t>
  </si>
  <si>
    <t>J187</t>
  </si>
  <si>
    <t>J188</t>
  </si>
  <si>
    <t>J189</t>
  </si>
  <si>
    <t>J190</t>
  </si>
  <si>
    <t>J191</t>
  </si>
  <si>
    <t>J192</t>
  </si>
  <si>
    <t>J193</t>
  </si>
  <si>
    <t>Count of Client ID</t>
  </si>
  <si>
    <t>Row Labels</t>
  </si>
  <si>
    <t>Grand Total</t>
  </si>
  <si>
    <t>Total Leads</t>
  </si>
  <si>
    <t>Total Lead</t>
  </si>
  <si>
    <t>Count of Sales</t>
  </si>
  <si>
    <t/>
  </si>
  <si>
    <t>Actual Sales</t>
  </si>
  <si>
    <t>Paid Only</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</si>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</sst>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b/>
      <sz val="36"/>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10" fontId="0" fillId="0" borderId="0" xfId="0" applyNumberFormat="1"/>
    <xf numFmtId="0" fontId="1" fillId="0" borderId="0" xfId="0" applyFont="1" applyAlignment="1">
      <alignment horizontal="center"/>
    </xf>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color theme="0"/>
      </font>
      <fill>
        <patternFill>
          <bgColor theme="8" tint="0.39994506668294322"/>
        </patternFill>
      </fill>
    </dxf>
    <dxf>
      <font>
        <color theme="8" tint="0.59996337778862885"/>
      </font>
      <fill>
        <patternFill>
          <bgColor theme="0"/>
        </patternFill>
      </fill>
    </dxf>
  </dxfs>
  <tableStyles count="2" defaultTableStyle="TableStyleMedium2" defaultPivotStyle="PivotStyleLight16">
    <tableStyle name="Slicer Style 1" pivot="0" table="0" count="2" xr9:uid="{39831D29-A35C-44D7-B1B4-C40DE18FCB9F}">
      <tableStyleElement type="wholeTable" dxfId="10"/>
    </tableStyle>
    <tableStyle name="Slicer Style 2" pivot="0" table="0" count="2" xr9:uid="{38AFD58D-2AC9-414A-AAAA-561E1D367A89}">
      <tableStyleElement type="wholeTable" dxfId="9"/>
    </tableStyle>
  </tableStyles>
  <extLst>
    <ext xmlns:x14="http://schemas.microsoft.com/office/spreadsheetml/2009/9/main" uri="{46F421CA-312F-682f-3DD2-61675219B42D}">
      <x14:dxfs count="2">
        <dxf>
          <font>
            <color theme="1"/>
          </font>
          <fill>
            <patternFill>
              <bgColor theme="0"/>
            </patternFill>
          </fill>
        </dxf>
        <dxf>
          <font>
            <color theme="0"/>
          </font>
          <fill>
            <patternFill>
              <bgColor theme="8"/>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5.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alcChain" Target="calcChain.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powerPivotData" Target="model/item.data"/><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[S_A First Project_Fotress Lead Distribution Analysis Project (Emerald).xlsx]Pivot Table-Data Summerization!PivotTable5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Table-Data Summerization'!$F$13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Table-Data Summerization'!$E$14:$E$16</c:f>
              <c:strCache>
                <c:ptCount val="2"/>
                <c:pt idx="0">
                  <c:v>Lagos</c:v>
                </c:pt>
                <c:pt idx="1">
                  <c:v>PH</c:v>
                </c:pt>
              </c:strCache>
            </c:strRef>
          </c:cat>
          <c:val>
            <c:numRef>
              <c:f>'Pivot Table-Data Summerization'!$F$14:$F$16</c:f>
              <c:numCache>
                <c:formatCode>General</c:formatCode>
                <c:ptCount val="2"/>
                <c:pt idx="0">
                  <c:v>102</c:v>
                </c:pt>
                <c:pt idx="1">
                  <c:v>91</c:v>
                </c:pt>
              </c:numCache>
            </c:numRef>
          </c:val>
          <c:extLst>
            <c:ext xmlns:c16="http://schemas.microsoft.com/office/drawing/2014/chart" uri="{C3380CC4-5D6E-409C-BE32-E72D297353CC}">
              <c16:uniqueId val="{00000000-B2E6-4F47-9D45-AE2B53715D3A}"/>
            </c:ext>
          </c:extLst>
        </c:ser>
        <c:dLbls>
          <c:dLblPos val="outEnd"/>
          <c:showLegendKey val="0"/>
          <c:showVal val="1"/>
          <c:showCatName val="0"/>
          <c:showSerName val="0"/>
          <c:showPercent val="0"/>
          <c:showBubbleSize val="0"/>
        </c:dLbls>
        <c:gapWidth val="219"/>
        <c:overlap val="-27"/>
        <c:axId val="2066375215"/>
        <c:axId val="2066375695"/>
      </c:barChart>
      <c:catAx>
        <c:axId val="206637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66375695"/>
        <c:crosses val="autoZero"/>
        <c:auto val="1"/>
        <c:lblAlgn val="ctr"/>
        <c:lblOffset val="100"/>
        <c:noMultiLvlLbl val="0"/>
      </c:catAx>
      <c:valAx>
        <c:axId val="2066375695"/>
        <c:scaling>
          <c:orientation val="minMax"/>
        </c:scaling>
        <c:delete val="1"/>
        <c:axPos val="l"/>
        <c:numFmt formatCode="General" sourceLinked="1"/>
        <c:majorTickMark val="none"/>
        <c:minorTickMark val="none"/>
        <c:tickLblPos val="nextTo"/>
        <c:crossAx val="206637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[S_A First Project_Fotress Lead Distribution Analysis Project (Emerald).xlsx]Pivot Table-Data Summerization!PivotTable2</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Table-Data Summerization'!$F$3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Table-Data Summerization'!$E$4:$E$10</c:f>
              <c:strCache>
                <c:ptCount val="6"/>
                <c:pt idx="0">
                  <c:v>Ahmed</c:v>
                </c:pt>
                <c:pt idx="1">
                  <c:v>Chioma</c:v>
                </c:pt>
                <c:pt idx="2">
                  <c:v>Chukwudi</c:v>
                </c:pt>
                <c:pt idx="3">
                  <c:v>Funmi</c:v>
                </c:pt>
                <c:pt idx="4">
                  <c:v>Ngozi</c:v>
                </c:pt>
                <c:pt idx="5">
                  <c:v>Olumide</c:v>
                </c:pt>
              </c:strCache>
            </c:strRef>
          </c:cat>
          <c:val>
            <c:numRef>
              <c:f>'Pivot Table-Data Summerization'!$F$4:$F$10</c:f>
              <c:numCache>
                <c:formatCode>General</c:formatCode>
                <c:ptCount val="6"/>
                <c:pt idx="0">
                  <c:v>32</c:v>
                </c:pt>
                <c:pt idx="1">
                  <c:v>31</c:v>
                </c:pt>
                <c:pt idx="2">
                  <c:v>35</c:v>
                </c:pt>
                <c:pt idx="3">
                  <c:v>40</c:v>
                </c:pt>
                <c:pt idx="4">
                  <c:v>28</c:v>
                </c:pt>
                <c:pt idx="5">
                  <c:v>27</c:v>
                </c:pt>
              </c:numCache>
            </c:numRef>
          </c:val>
          <c:extLst>
            <c:ext xmlns:c16="http://schemas.microsoft.com/office/drawing/2014/chart" uri="{C3380CC4-5D6E-409C-BE32-E72D297353CC}">
              <c16:uniqueId val="{00000000-2536-429B-B0ED-AFDB8B002832}"/>
            </c:ext>
          </c:extLst>
        </c:ser>
        <c:dLbls>
          <c:dLblPos val="outEnd"/>
          <c:showLegendKey val="0"/>
          <c:showVal val="1"/>
          <c:showCatName val="0"/>
          <c:showSerName val="0"/>
          <c:showPercent val="0"/>
          <c:showBubbleSize val="0"/>
        </c:dLbls>
        <c:gapWidth val="219"/>
        <c:overlap val="-27"/>
        <c:axId val="285735215"/>
        <c:axId val="285754415"/>
      </c:barChart>
      <c:catAx>
        <c:axId val="28573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85754415"/>
        <c:crosses val="autoZero"/>
        <c:auto val="1"/>
        <c:lblAlgn val="ctr"/>
        <c:lblOffset val="100"/>
        <c:noMultiLvlLbl val="0"/>
      </c:catAx>
      <c:valAx>
        <c:axId val="285754415"/>
        <c:scaling>
          <c:orientation val="minMax"/>
        </c:scaling>
        <c:delete val="1"/>
        <c:axPos val="l"/>
        <c:numFmt formatCode="General" sourceLinked="1"/>
        <c:majorTickMark val="none"/>
        <c:minorTickMark val="none"/>
        <c:tickLblPos val="nextTo"/>
        <c:crossAx val="28573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[S_A First Project_Fotress Lead Distribution Analysis Project (Emerald).xlsx]Pivot Table-Data Summerization!PivotTable3</c:name>
    <c:fmtId val="4"/>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8.88099218724432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6.749554062305686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8.88099218724432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6.7495540623056863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hade val="76000"/>
            </a:schemeClr>
          </a:solidFill>
          <a:ln w="19050">
            <a:solidFill>
              <a:schemeClr val="lt1"/>
            </a:solidFill>
          </a:ln>
          <a:effectLst/>
        </c:spPr>
        <c:dLbl>
          <c:idx val="0"/>
          <c:layout>
            <c:manualLayout>
              <c:x val="8.8809921872443215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tint val="77000"/>
            </a:schemeClr>
          </a:solidFill>
          <a:ln w="19050">
            <a:solidFill>
              <a:schemeClr val="lt1"/>
            </a:solidFill>
          </a:ln>
          <a:effectLst/>
        </c:spPr>
        <c:dLbl>
          <c:idx val="0"/>
          <c:layout>
            <c:manualLayout>
              <c:x val="-1.8372693260012014E-2"/>
              <c:y val="0.194842406876790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Table-Data Summerization'!$J$3</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1BA2-4361-99C4-91A4FA279CB8}"/>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1BA2-4361-99C4-91A4FA279CB8}"/>
              </c:ext>
            </c:extLst>
          </c:dPt>
          <c:dLbls>
            <c:dLbl>
              <c:idx val="0"/>
              <c:layout>
                <c:manualLayout>
                  <c:x val="8.880992187244321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BA2-4361-99C4-91A4FA279CB8}"/>
                </c:ext>
              </c:extLst>
            </c:dLbl>
            <c:dLbl>
              <c:idx val="1"/>
              <c:layout>
                <c:manualLayout>
                  <c:x val="-1.8372693260012014E-2"/>
                  <c:y val="0.194842406876790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A2-4361-99C4-91A4FA279CB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Table-Data Summerization'!$I$4:$I$6</c:f>
              <c:strCache>
                <c:ptCount val="2"/>
                <c:pt idx="0">
                  <c:v>Female</c:v>
                </c:pt>
                <c:pt idx="1">
                  <c:v>Male</c:v>
                </c:pt>
              </c:strCache>
            </c:strRef>
          </c:cat>
          <c:val>
            <c:numRef>
              <c:f>'Pivot Table-Data Summerization'!$J$4:$J$6</c:f>
              <c:numCache>
                <c:formatCode>General</c:formatCode>
                <c:ptCount val="2"/>
                <c:pt idx="0">
                  <c:v>104</c:v>
                </c:pt>
                <c:pt idx="1">
                  <c:v>89</c:v>
                </c:pt>
              </c:numCache>
            </c:numRef>
          </c:val>
          <c:extLst>
            <c:ext xmlns:c16="http://schemas.microsoft.com/office/drawing/2014/chart" uri="{C3380CC4-5D6E-409C-BE32-E72D297353CC}">
              <c16:uniqueId val="{00000004-1BA2-4361-99C4-91A4FA279CB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[S_A First Project_Fotress Lead Distribution Analysis Project (Emerald).xlsx]Pivot Table-Data Summerization!PivotTable6</c:name>
    <c:fmtId val="3"/>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Table-Data Summerization'!$J$13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Table-Data Summerization'!$I$14:$I$17</c:f>
              <c:strCache>
                <c:ptCount val="3"/>
                <c:pt idx="0">
                  <c:v>Commercial</c:v>
                </c:pt>
                <c:pt idx="1">
                  <c:v>Industrial</c:v>
                </c:pt>
                <c:pt idx="2">
                  <c:v>Residential</c:v>
                </c:pt>
              </c:strCache>
            </c:strRef>
          </c:cat>
          <c:val>
            <c:numRef>
              <c:f>'Pivot Table-Data Summerization'!$J$14:$J$17</c:f>
              <c:numCache>
                <c:formatCode>General</c:formatCode>
                <c:ptCount val="3"/>
                <c:pt idx="0">
                  <c:v>61</c:v>
                </c:pt>
                <c:pt idx="1">
                  <c:v>36</c:v>
                </c:pt>
                <c:pt idx="2">
                  <c:v>96</c:v>
                </c:pt>
              </c:numCache>
            </c:numRef>
          </c:val>
          <c:extLst>
            <c:ext xmlns:c16="http://schemas.microsoft.com/office/drawing/2014/chart" uri="{C3380CC4-5D6E-409C-BE32-E72D297353CC}">
              <c16:uniqueId val="{00000000-824C-408E-A830-A4FA59D107AC}"/>
            </c:ext>
          </c:extLst>
        </c:ser>
        <c:dLbls>
          <c:dLblPos val="outEnd"/>
          <c:showLegendKey val="0"/>
          <c:showVal val="1"/>
          <c:showCatName val="0"/>
          <c:showSerName val="0"/>
          <c:showPercent val="0"/>
          <c:showBubbleSize val="0"/>
        </c:dLbls>
        <c:gapWidth val="182"/>
        <c:axId val="383120671"/>
        <c:axId val="383124991"/>
      </c:barChart>
      <c:catAx>
        <c:axId val="3831206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383124991"/>
        <c:crosses val="autoZero"/>
        <c:auto val="1"/>
        <c:lblAlgn val="ctr"/>
        <c:lblOffset val="100"/>
        <c:noMultiLvlLbl val="0"/>
      </c:catAx>
      <c:valAx>
        <c:axId val="383124991"/>
        <c:scaling>
          <c:orientation val="minMax"/>
        </c:scaling>
        <c:delete val="1"/>
        <c:axPos val="b"/>
        <c:numFmt formatCode="General" sourceLinked="1"/>
        <c:majorTickMark val="out"/>
        <c:minorTickMark val="none"/>
        <c:tickLblPos val="nextTo"/>
        <c:crossAx val="38312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[S_A First Project_Fotress Lead Distribution Analysis Project (Emerald).xlsx]Pivot Table-Data Summerization!PivotTable7</c:name>
    <c:fmtId val="6"/>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dLbl>
          <c:idx val="0"/>
          <c:layout>
            <c:manualLayout>
              <c:x val="5.7602879771762282E-2"/>
              <c:y val="3.0243460946692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1.8506232929486881E-2"/>
              <c:y val="-8.77726491085166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dLbl>
          <c:idx val="0"/>
          <c:layout>
            <c:manualLayout>
              <c:x val="5.7602879771762282E-2"/>
              <c:y val="3.0243460946692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19050">
            <a:solidFill>
              <a:schemeClr val="lt1"/>
            </a:solidFill>
          </a:ln>
          <a:effectLst/>
        </c:spPr>
        <c:dLbl>
          <c:idx val="0"/>
          <c:layout>
            <c:manualLayout>
              <c:x val="-1.8506232929486881E-2"/>
              <c:y val="-8.77726491085166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hade val="76000"/>
            </a:schemeClr>
          </a:solidFill>
          <a:ln w="19050">
            <a:solidFill>
              <a:schemeClr val="lt1"/>
            </a:solidFill>
          </a:ln>
          <a:effectLst/>
        </c:spPr>
        <c:dLbl>
          <c:idx val="0"/>
          <c:layout>
            <c:manualLayout>
              <c:x val="5.7602879771762282E-2"/>
              <c:y val="3.02434609466920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tint val="77000"/>
            </a:schemeClr>
          </a:solidFill>
          <a:ln w="19050">
            <a:solidFill>
              <a:schemeClr val="lt1"/>
            </a:solidFill>
          </a:ln>
          <a:effectLst/>
        </c:spPr>
        <c:dLbl>
          <c:idx val="0"/>
          <c:layout>
            <c:manualLayout>
              <c:x val="-1.8506232929486881E-2"/>
              <c:y val="-8.777264910851661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Table-Data Summerization'!$B$16</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BFAD-4818-88BD-CC81E006C85C}"/>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BFAD-4818-88BD-CC81E006C85C}"/>
              </c:ext>
            </c:extLst>
          </c:dPt>
          <c:dLbls>
            <c:dLbl>
              <c:idx val="0"/>
              <c:layout>
                <c:manualLayout>
                  <c:x val="5.7602879771762282E-2"/>
                  <c:y val="3.024346094669200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FAD-4818-88BD-CC81E006C85C}"/>
                </c:ext>
              </c:extLst>
            </c:dLbl>
            <c:dLbl>
              <c:idx val="1"/>
              <c:layout>
                <c:manualLayout>
                  <c:x val="-1.8506232929486881E-2"/>
                  <c:y val="-8.7772649108516614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FAD-4818-88BD-CC81E006C8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Table-Data Summerization'!$A$17:$A$19</c:f>
              <c:strCache>
                <c:ptCount val="2"/>
                <c:pt idx="0">
                  <c:v>No</c:v>
                </c:pt>
                <c:pt idx="1">
                  <c:v>Yes</c:v>
                </c:pt>
              </c:strCache>
            </c:strRef>
          </c:cat>
          <c:val>
            <c:numRef>
              <c:f>'Pivot Table-Data Summerization'!$B$17:$B$19</c:f>
              <c:numCache>
                <c:formatCode>General</c:formatCode>
                <c:ptCount val="2"/>
                <c:pt idx="0">
                  <c:v>82</c:v>
                </c:pt>
                <c:pt idx="1">
                  <c:v>111</c:v>
                </c:pt>
              </c:numCache>
            </c:numRef>
          </c:val>
          <c:extLst>
            <c:ext xmlns:c16="http://schemas.microsoft.com/office/drawing/2014/chart" uri="{C3380CC4-5D6E-409C-BE32-E72D297353CC}">
              <c16:uniqueId val="{00000004-BFAD-4818-88BD-CC81E006C85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[S_A First Project_Fotress Lead Distribution Analysis Project (Emerald).xlsx]Pivot Table-Data Summerization!PivotTable4</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Table-Data Summerization'!$B$8</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Table-Data Summerization'!$A$9:$A$13</c:f>
              <c:strCache>
                <c:ptCount val="4"/>
                <c:pt idx="0">
                  <c:v>Next Time</c:v>
                </c:pt>
                <c:pt idx="1">
                  <c:v>Not Interested</c:v>
                </c:pt>
                <c:pt idx="2">
                  <c:v>Paid</c:v>
                </c:pt>
                <c:pt idx="3">
                  <c:v>Too Expensive</c:v>
                </c:pt>
              </c:strCache>
            </c:strRef>
          </c:cat>
          <c:val>
            <c:numRef>
              <c:f>'Pivot Table-Data Summerization'!$B$9:$B$13</c:f>
              <c:numCache>
                <c:formatCode>General</c:formatCode>
                <c:ptCount val="4"/>
                <c:pt idx="0">
                  <c:v>30</c:v>
                </c:pt>
                <c:pt idx="1">
                  <c:v>29</c:v>
                </c:pt>
                <c:pt idx="2">
                  <c:v>84</c:v>
                </c:pt>
                <c:pt idx="3">
                  <c:v>50</c:v>
                </c:pt>
              </c:numCache>
            </c:numRef>
          </c:val>
          <c:extLst>
            <c:ext xmlns:c16="http://schemas.microsoft.com/office/drawing/2014/chart" uri="{C3380CC4-5D6E-409C-BE32-E72D297353CC}">
              <c16:uniqueId val="{00000000-0F2E-4FAD-8E1A-B152BCC1B13A}"/>
            </c:ext>
          </c:extLst>
        </c:ser>
        <c:dLbls>
          <c:dLblPos val="outEnd"/>
          <c:showLegendKey val="0"/>
          <c:showVal val="1"/>
          <c:showCatName val="0"/>
          <c:showSerName val="0"/>
          <c:showPercent val="0"/>
          <c:showBubbleSize val="0"/>
        </c:dLbls>
        <c:gapWidth val="182"/>
        <c:axId val="2071923647"/>
        <c:axId val="2071931807"/>
      </c:barChart>
      <c:catAx>
        <c:axId val="207192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71931807"/>
        <c:crosses val="autoZero"/>
        <c:auto val="1"/>
        <c:lblAlgn val="ctr"/>
        <c:lblOffset val="100"/>
        <c:noMultiLvlLbl val="0"/>
      </c:catAx>
      <c:valAx>
        <c:axId val="2071931807"/>
        <c:scaling>
          <c:orientation val="minMax"/>
        </c:scaling>
        <c:delete val="1"/>
        <c:axPos val="b"/>
        <c:numFmt formatCode="General" sourceLinked="1"/>
        <c:majorTickMark val="none"/>
        <c:minorTickMark val="none"/>
        <c:tickLblPos val="nextTo"/>
        <c:crossAx val="207192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[S_A First Project_Fotress Lead Distribution Analysis Project (Emerald).xlsx]Pivot Table-Data Summerization!PivotTable5</c:name>
    <c:fmtId val="8"/>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Table-Data Summerization'!$F$13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Table-Data Summerization'!$E$14:$E$16</c:f>
              <c:strCache>
                <c:ptCount val="2"/>
                <c:pt idx="0">
                  <c:v>Lagos</c:v>
                </c:pt>
                <c:pt idx="1">
                  <c:v>PH</c:v>
                </c:pt>
              </c:strCache>
            </c:strRef>
          </c:cat>
          <c:val>
            <c:numRef>
              <c:f>'Pivot Table-Data Summerization'!$F$14:$F$16</c:f>
              <c:numCache>
                <c:formatCode>General</c:formatCode>
                <c:ptCount val="2"/>
                <c:pt idx="0">
                  <c:v>102</c:v>
                </c:pt>
                <c:pt idx="1">
                  <c:v>91</c:v>
                </c:pt>
              </c:numCache>
            </c:numRef>
          </c:val>
          <c:extLst>
            <c:ext xmlns:c16="http://schemas.microsoft.com/office/drawing/2014/chart" uri="{C3380CC4-5D6E-409C-BE32-E72D297353CC}">
              <c16:uniqueId val="{00000000-40C8-4A2F-BB41-77E422B05F9F}"/>
            </c:ext>
          </c:extLst>
        </c:ser>
        <c:dLbls>
          <c:showLegendKey val="0"/>
          <c:showVal val="0"/>
          <c:showCatName val="0"/>
          <c:showSerName val="0"/>
          <c:showPercent val="0"/>
          <c:showBubbleSize val="0"/>
        </c:dLbls>
        <c:gapWidth val="219"/>
        <c:overlap val="-27"/>
        <c:axId val="490353471"/>
        <c:axId val="490357311"/>
      </c:barChart>
      <c:catAx>
        <c:axId val="49035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490357311"/>
        <c:crosses val="autoZero"/>
        <c:auto val="1"/>
        <c:lblAlgn val="ctr"/>
        <c:lblOffset val="100"/>
        <c:noMultiLvlLbl val="0"/>
      </c:catAx>
      <c:valAx>
        <c:axId val="490357311"/>
        <c:scaling>
          <c:orientation val="minMax"/>
        </c:scaling>
        <c:delete val="1"/>
        <c:axPos val="l"/>
        <c:numFmt formatCode="General" sourceLinked="1"/>
        <c:majorTickMark val="none"/>
        <c:minorTickMark val="none"/>
        <c:tickLblPos val="nextTo"/>
        <c:crossAx val="49035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209551</xdr:colOff>
      <xdr:row>34</xdr:row>
      <xdr:rowOff>12700</xdr:rowOff>
    </xdr:from>
    <xdr:to>
      <xdr:col>4</xdr:col>
      <xdr:colOff>279401</xdr:colOff>
      <xdr:row>45</xdr:row>
      <xdr:rowOff>165100</xdr:rowOff>
    </xdr:to>
    <xdr:graphicFrame macro="">
      <xdr:nvGraphicFramePr>
        <xdr:cNvPr id="5" name="Chart 4">
          <a:extLst>
            <a:ext uri="{FF2B5EF4-FFF2-40B4-BE49-F238E27FC236}">
              <a16:creationId xmlns:a16="http://schemas.microsoft.com/office/drawing/2014/main" id="{D018B547-90F8-E536-7A2D-417F9A72EF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19051</xdr:colOff>
      <xdr:row>9</xdr:row>
      <xdr:rowOff>19050</xdr:rowOff>
    </xdr:from>
    <xdr:to>
      <xdr:col>10</xdr:col>
      <xdr:colOff>9073</xdr:colOff>
      <xdr:row>21</xdr:row>
      <xdr:rowOff>0</xdr:rowOff>
    </xdr:to>
    <xdr:graphicFrame macro="">
      <xdr:nvGraphicFramePr>
        <xdr:cNvPr id="2" name="Chart 1">
          <a:extLst>
            <a:ext uri="{FF2B5EF4-FFF2-40B4-BE49-F238E27FC236}">
              <a16:creationId xmlns:a16="http://schemas.microsoft.com/office/drawing/2014/main" id="{E949F8DC-E771-45FA-A25F-6575AAE74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9</xdr:row>
      <xdr:rowOff>6350</xdr:rowOff>
    </xdr:from>
    <xdr:to>
      <xdr:col>13</xdr:col>
      <xdr:colOff>590551</xdr:colOff>
      <xdr:row>21</xdr:row>
      <xdr:rowOff>12700</xdr:rowOff>
    </xdr:to>
    <xdr:graphicFrame macro="">
      <xdr:nvGraphicFramePr>
        <xdr:cNvPr id="3" name="Chart 2">
          <a:extLst>
            <a:ext uri="{FF2B5EF4-FFF2-40B4-BE49-F238E27FC236}">
              <a16:creationId xmlns:a16="http://schemas.microsoft.com/office/drawing/2014/main" id="{6658F6FD-761F-4685-A581-C7BF4DB354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xdr:colOff>
      <xdr:row>9</xdr:row>
      <xdr:rowOff>38100</xdr:rowOff>
    </xdr:from>
    <xdr:to>
      <xdr:col>18</xdr:col>
      <xdr:colOff>0</xdr:colOff>
      <xdr:row>20</xdr:row>
      <xdr:rowOff>171449</xdr:rowOff>
    </xdr:to>
    <xdr:graphicFrame macro="">
      <xdr:nvGraphicFramePr>
        <xdr:cNvPr id="4" name="Chart 3">
          <a:extLst>
            <a:ext uri="{FF2B5EF4-FFF2-40B4-BE49-F238E27FC236}">
              <a16:creationId xmlns:a16="http://schemas.microsoft.com/office/drawing/2014/main" id="{5997F56C-472F-4B35-B48B-4F1B2A0B9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xdr:colOff>
      <xdr:row>22</xdr:row>
      <xdr:rowOff>19050</xdr:rowOff>
    </xdr:from>
    <xdr:to>
      <xdr:col>18</xdr:col>
      <xdr:colOff>19050</xdr:colOff>
      <xdr:row>34</xdr:row>
      <xdr:rowOff>12700</xdr:rowOff>
    </xdr:to>
    <xdr:graphicFrame macro="">
      <xdr:nvGraphicFramePr>
        <xdr:cNvPr id="5" name="Chart 4">
          <a:extLst>
            <a:ext uri="{FF2B5EF4-FFF2-40B4-BE49-F238E27FC236}">
              <a16:creationId xmlns:a16="http://schemas.microsoft.com/office/drawing/2014/main" id="{D82B9754-562B-4604-B529-6B2EEA06F3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22</xdr:row>
      <xdr:rowOff>0</xdr:rowOff>
    </xdr:from>
    <xdr:to>
      <xdr:col>9</xdr:col>
      <xdr:colOff>990599</xdr:colOff>
      <xdr:row>33</xdr:row>
      <xdr:rowOff>152400</xdr:rowOff>
    </xdr:to>
    <xdr:graphicFrame macro="">
      <xdr:nvGraphicFramePr>
        <xdr:cNvPr id="7" name="Chart 6">
          <a:extLst>
            <a:ext uri="{FF2B5EF4-FFF2-40B4-BE49-F238E27FC236}">
              <a16:creationId xmlns:a16="http://schemas.microsoft.com/office/drawing/2014/main" id="{3DA8B8B6-C338-4DB5-90AF-3B2A3AE03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22</xdr:row>
      <xdr:rowOff>45355</xdr:rowOff>
    </xdr:from>
    <xdr:to>
      <xdr:col>14</xdr:col>
      <xdr:colOff>6350</xdr:colOff>
      <xdr:row>34</xdr:row>
      <xdr:rowOff>70755</xdr:rowOff>
    </xdr:to>
    <xdr:graphicFrame macro="">
      <xdr:nvGraphicFramePr>
        <xdr:cNvPr id="8" name="Chart 7">
          <a:extLst>
            <a:ext uri="{FF2B5EF4-FFF2-40B4-BE49-F238E27FC236}">
              <a16:creationId xmlns:a16="http://schemas.microsoft.com/office/drawing/2014/main" id="{DC755505-2216-4950-96E9-56C9629FC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12700</xdr:colOff>
      <xdr:row>9</xdr:row>
      <xdr:rowOff>12700</xdr:rowOff>
    </xdr:from>
    <xdr:to>
      <xdr:col>4</xdr:col>
      <xdr:colOff>12700</xdr:colOff>
      <xdr:row>21</xdr:row>
      <xdr:rowOff>95250</xdr:rowOff>
    </xdr:to>
    <mc:AlternateContent xmlns:mc="http://schemas.openxmlformats.org/markup-compatibility/2006" xmlns:a14="http://schemas.microsoft.com/office/drawing/2010/main">
      <mc:Choice Requires="a14">
        <xdr:graphicFrame macro="">
          <xdr:nvGraphicFramePr>
            <xdr:cNvPr id="9" name="Sales Person">
              <a:extLst>
                <a:ext uri="{FF2B5EF4-FFF2-40B4-BE49-F238E27FC236}">
                  <a16:creationId xmlns:a16="http://schemas.microsoft.com/office/drawing/2014/main" id="{C6BE692E-6BC3-1EDD-AF05-7E065E3136FA}"/>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65100" y="1054100"/>
              <a:ext cx="1828800" cy="22923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12700</xdr:colOff>
      <xdr:row>4</xdr:row>
      <xdr:rowOff>57150</xdr:rowOff>
    </xdr:from>
    <xdr:to>
      <xdr:col>14</xdr:col>
      <xdr:colOff>12700</xdr:colOff>
      <xdr:row>7</xdr:row>
      <xdr:rowOff>171449</xdr:rowOff>
    </xdr:to>
    <mc:AlternateContent xmlns:mc="http://schemas.openxmlformats.org/markup-compatibility/2006" xmlns:a14="http://schemas.microsoft.com/office/drawing/2010/main">
      <mc:Choice Requires="a14">
        <xdr:graphicFrame macro="">
          <xdr:nvGraphicFramePr>
            <xdr:cNvPr id="10" name="Client Gender">
              <a:extLst>
                <a:ext uri="{FF2B5EF4-FFF2-40B4-BE49-F238E27FC236}">
                  <a16:creationId xmlns:a16="http://schemas.microsoft.com/office/drawing/2014/main" id="{9C2B3739-F55D-D1E8-6E1A-B346DD257B71}"/>
                </a:ext>
              </a:extLst>
            </xdr:cNvPr>
            <xdr:cNvGraphicFramePr/>
          </xdr:nvGraphicFramePr>
          <xdr:xfrm>
            <a:off x="0" y="0"/>
            <a:ext cx="0" cy="0"/>
          </xdr:xfrm>
          <a:graphic>
            <a:graphicData uri="http://schemas.microsoft.com/office/drawing/2010/slicer">
              <sle:slicer xmlns:sle="http://schemas.microsoft.com/office/drawing/2010/slicer" name="Client Gender"/>
            </a:graphicData>
          </a:graphic>
        </xdr:graphicFrame>
      </mc:Choice>
      <mc:Fallback xmlns="">
        <xdr:sp macro="" textlink="">
          <xdr:nvSpPr>
            <xdr:cNvPr id="0" name=""/>
            <xdr:cNvSpPr>
              <a:spLocks noTextEdit="1"/>
            </xdr:cNvSpPr>
          </xdr:nvSpPr>
          <xdr:spPr>
            <a:xfrm>
              <a:off x="5734050" y="209550"/>
              <a:ext cx="1828800" cy="6667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254000</xdr:colOff>
      <xdr:row>4</xdr:row>
      <xdr:rowOff>57150</xdr:rowOff>
    </xdr:from>
    <xdr:to>
      <xdr:col>9</xdr:col>
      <xdr:colOff>996043</xdr:colOff>
      <xdr:row>7</xdr:row>
      <xdr:rowOff>177800</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EACA486F-F8D1-9CAF-CE24-62F682B7920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997200" y="762000"/>
              <a:ext cx="2348593" cy="6731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xdr:colOff>
      <xdr:row>21</xdr:row>
      <xdr:rowOff>107950</xdr:rowOff>
    </xdr:from>
    <xdr:to>
      <xdr:col>4</xdr:col>
      <xdr:colOff>19050</xdr:colOff>
      <xdr:row>30</xdr:row>
      <xdr:rowOff>101601</xdr:rowOff>
    </xdr:to>
    <mc:AlternateContent xmlns:mc="http://schemas.openxmlformats.org/markup-compatibility/2006" xmlns:a14="http://schemas.microsoft.com/office/drawing/2010/main">
      <mc:Choice Requires="a14">
        <xdr:graphicFrame macro="">
          <xdr:nvGraphicFramePr>
            <xdr:cNvPr id="12" name="Sales">
              <a:extLst>
                <a:ext uri="{FF2B5EF4-FFF2-40B4-BE49-F238E27FC236}">
                  <a16:creationId xmlns:a16="http://schemas.microsoft.com/office/drawing/2014/main" id="{D9764438-7098-088F-FB54-580E5D119F6B}"/>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171450" y="3359150"/>
              <a:ext cx="1828800" cy="16192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xdr:colOff>
      <xdr:row>30</xdr:row>
      <xdr:rowOff>95250</xdr:rowOff>
    </xdr:from>
    <xdr:to>
      <xdr:col>4</xdr:col>
      <xdr:colOff>6350</xdr:colOff>
      <xdr:row>34</xdr:row>
      <xdr:rowOff>6350</xdr:rowOff>
    </xdr:to>
    <mc:AlternateContent xmlns:mc="http://schemas.openxmlformats.org/markup-compatibility/2006" xmlns:a14="http://schemas.microsoft.com/office/drawing/2010/main">
      <mc:Choice Requires="a14">
        <xdr:graphicFrame macro="">
          <xdr:nvGraphicFramePr>
            <xdr:cNvPr id="13" name="State">
              <a:extLst>
                <a:ext uri="{FF2B5EF4-FFF2-40B4-BE49-F238E27FC236}">
                  <a16:creationId xmlns:a16="http://schemas.microsoft.com/office/drawing/2014/main" id="{0C3C2618-2199-092B-8DED-63B67275D96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58750" y="4972050"/>
              <a:ext cx="1828800" cy="6477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6350</xdr:colOff>
      <xdr:row>4</xdr:row>
      <xdr:rowOff>57150</xdr:rowOff>
    </xdr:from>
    <xdr:to>
      <xdr:col>18</xdr:col>
      <xdr:colOff>12701</xdr:colOff>
      <xdr:row>7</xdr:row>
      <xdr:rowOff>165099</xdr:rowOff>
    </xdr:to>
    <mc:AlternateContent xmlns:mc="http://schemas.openxmlformats.org/markup-compatibility/2006" xmlns:a14="http://schemas.microsoft.com/office/drawing/2010/main">
      <mc:Choice Requires="a14">
        <xdr:graphicFrame macro="">
          <xdr:nvGraphicFramePr>
            <xdr:cNvPr id="14" name="Inspection">
              <a:extLst>
                <a:ext uri="{FF2B5EF4-FFF2-40B4-BE49-F238E27FC236}">
                  <a16:creationId xmlns:a16="http://schemas.microsoft.com/office/drawing/2014/main" id="{F5234C5A-35A1-012D-F883-77519B3EAD7B}"/>
                </a:ext>
              </a:extLst>
            </xdr:cNvPr>
            <xdr:cNvGraphicFramePr/>
          </xdr:nvGraphicFramePr>
          <xdr:xfrm>
            <a:off x="0" y="0"/>
            <a:ext cx="0" cy="0"/>
          </xdr:xfrm>
          <a:graphic>
            <a:graphicData uri="http://schemas.microsoft.com/office/drawing/2010/slicer">
              <sle:slicer xmlns:sle="http://schemas.microsoft.com/office/drawing/2010/slicer" name="Inspection"/>
            </a:graphicData>
          </a:graphic>
        </xdr:graphicFrame>
      </mc:Choice>
      <mc:Fallback xmlns="">
        <xdr:sp macro="" textlink="">
          <xdr:nvSpPr>
            <xdr:cNvPr id="0" name=""/>
            <xdr:cNvSpPr>
              <a:spLocks noTextEdit="1"/>
            </xdr:cNvSpPr>
          </xdr:nvSpPr>
          <xdr:spPr>
            <a:xfrm>
              <a:off x="7708900" y="209550"/>
              <a:ext cx="1835150" cy="6604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222250</xdr:colOff>
      <xdr:row>2</xdr:row>
      <xdr:rowOff>177800</xdr:rowOff>
    </xdr:from>
    <xdr:to>
      <xdr:col>3</xdr:col>
      <xdr:colOff>603250</xdr:colOff>
      <xdr:row>6</xdr:row>
      <xdr:rowOff>38100</xdr:rowOff>
    </xdr:to>
    <xdr:sp macro="" textlink="">
      <xdr:nvSpPr>
        <xdr:cNvPr id="16" name="TextBox 15">
          <a:extLst>
            <a:ext uri="{FF2B5EF4-FFF2-40B4-BE49-F238E27FC236}">
              <a16:creationId xmlns:a16="http://schemas.microsoft.com/office/drawing/2014/main" id="{7D334B20-1D41-63FF-918F-3417018E6592}"/>
            </a:ext>
          </a:extLst>
        </xdr:cNvPr>
        <xdr:cNvSpPr txBox="1"/>
      </xdr:nvSpPr>
      <xdr:spPr>
        <a:xfrm>
          <a:off x="984250" y="514350"/>
          <a:ext cx="99060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Emerald</a:t>
          </a:r>
          <a:r>
            <a:rPr lang="en-US" sz="1100"/>
            <a:t> Properties</a:t>
          </a:r>
          <a:r>
            <a:rPr lang="en-US" sz="1100" baseline="0"/>
            <a:t> ltd</a:t>
          </a:r>
          <a:endParaRPr lang="en-NG" sz="1100"/>
        </a:p>
      </xdr:txBody>
    </xdr:sp>
    <xdr:clientData/>
  </xdr:twoCellAnchor>
  <xdr:twoCellAnchor>
    <xdr:from>
      <xdr:col>5</xdr:col>
      <xdr:colOff>69850</xdr:colOff>
      <xdr:row>1</xdr:row>
      <xdr:rowOff>25400</xdr:rowOff>
    </xdr:from>
    <xdr:to>
      <xdr:col>8</xdr:col>
      <xdr:colOff>565150</xdr:colOff>
      <xdr:row>3</xdr:row>
      <xdr:rowOff>139700</xdr:rowOff>
    </xdr:to>
    <xdr:sp macro="" textlink="">
      <xdr:nvSpPr>
        <xdr:cNvPr id="17" name="TextBox 16">
          <a:extLst>
            <a:ext uri="{FF2B5EF4-FFF2-40B4-BE49-F238E27FC236}">
              <a16:creationId xmlns:a16="http://schemas.microsoft.com/office/drawing/2014/main" id="{DBC3BEF8-B5BD-AF38-6332-528219DB749F}"/>
            </a:ext>
          </a:extLst>
        </xdr:cNvPr>
        <xdr:cNvSpPr txBox="1"/>
      </xdr:nvSpPr>
      <xdr:spPr>
        <a:xfrm>
          <a:off x="2203450" y="177800"/>
          <a:ext cx="2324100"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clientData/>
  </xdr:twoCellAnchor>
  <xdr:twoCellAnchor>
    <xdr:from>
      <xdr:col>5</xdr:col>
      <xdr:colOff>63500</xdr:colOff>
      <xdr:row>2</xdr:row>
      <xdr:rowOff>72571</xdr:rowOff>
    </xdr:from>
    <xdr:to>
      <xdr:col>9</xdr:col>
      <xdr:colOff>196850</xdr:colOff>
      <xdr:row>3</xdr:row>
      <xdr:rowOff>163286</xdr:rowOff>
    </xdr:to>
    <xdr:sp macro="" textlink="">
      <xdr:nvSpPr>
        <xdr:cNvPr id="18" name="TextBox 17">
          <a:extLst>
            <a:ext uri="{FF2B5EF4-FFF2-40B4-BE49-F238E27FC236}">
              <a16:creationId xmlns:a16="http://schemas.microsoft.com/office/drawing/2014/main" id="{582098B5-C425-3C65-A19E-5A9823B8629B}"/>
            </a:ext>
          </a:extLst>
        </xdr:cNvPr>
        <xdr:cNvSpPr txBox="1"/>
      </xdr:nvSpPr>
      <xdr:spPr>
        <a:xfrm>
          <a:off x="2197100" y="409121"/>
          <a:ext cx="2349500" cy="274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Lead</a:t>
          </a:r>
          <a:r>
            <a:rPr lang="en-US" sz="1100" baseline="0"/>
            <a:t> Distribution Analysis, June 2023</a:t>
          </a:r>
        </a:p>
        <a:p>
          <a:r>
            <a:rPr lang="en-US" sz="1100" baseline="0"/>
            <a:t> 2023</a:t>
          </a:r>
          <a:endParaRPr lang="en-NG" sz="1100"/>
        </a:p>
      </xdr:txBody>
    </xdr:sp>
    <xdr:clientData/>
  </xdr:twoCellAnchor>
  <xdr:twoCellAnchor>
    <xdr:from>
      <xdr:col>5</xdr:col>
      <xdr:colOff>9071</xdr:colOff>
      <xdr:row>4</xdr:row>
      <xdr:rowOff>9071</xdr:rowOff>
    </xdr:from>
    <xdr:to>
      <xdr:col>7</xdr:col>
      <xdr:colOff>0</xdr:colOff>
      <xdr:row>5</xdr:row>
      <xdr:rowOff>63500</xdr:rowOff>
    </xdr:to>
    <xdr:sp macro="" textlink="">
      <xdr:nvSpPr>
        <xdr:cNvPr id="19" name="TextBox 18">
          <a:extLst>
            <a:ext uri="{FF2B5EF4-FFF2-40B4-BE49-F238E27FC236}">
              <a16:creationId xmlns:a16="http://schemas.microsoft.com/office/drawing/2014/main" id="{2EA0D778-7C5B-DF4A-BD00-2371A504ECAE}"/>
            </a:ext>
          </a:extLst>
        </xdr:cNvPr>
        <xdr:cNvSpPr txBox="1"/>
      </xdr:nvSpPr>
      <xdr:spPr>
        <a:xfrm>
          <a:off x="2140857" y="707571"/>
          <a:ext cx="988786" cy="235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Total leads</a:t>
          </a:r>
          <a:endParaRPr lang="en-NG" sz="1100" b="1"/>
        </a:p>
      </xdr:txBody>
    </xdr:sp>
    <xdr:clientData/>
  </xdr:twoCellAnchor>
  <xdr:twoCellAnchor>
    <xdr:from>
      <xdr:col>5</xdr:col>
      <xdr:colOff>18143</xdr:colOff>
      <xdr:row>8</xdr:row>
      <xdr:rowOff>145143</xdr:rowOff>
    </xdr:from>
    <xdr:to>
      <xdr:col>9</xdr:col>
      <xdr:colOff>970643</xdr:colOff>
      <xdr:row>10</xdr:row>
      <xdr:rowOff>9072</xdr:rowOff>
    </xdr:to>
    <xdr:sp macro="" textlink="">
      <xdr:nvSpPr>
        <xdr:cNvPr id="20" name="TextBox 19">
          <a:extLst>
            <a:ext uri="{FF2B5EF4-FFF2-40B4-BE49-F238E27FC236}">
              <a16:creationId xmlns:a16="http://schemas.microsoft.com/office/drawing/2014/main" id="{8D166E09-F340-C040-37A0-D9AE47FFAFFE}"/>
            </a:ext>
          </a:extLst>
        </xdr:cNvPr>
        <xdr:cNvSpPr txBox="1"/>
      </xdr:nvSpPr>
      <xdr:spPr>
        <a:xfrm>
          <a:off x="2149929" y="1569357"/>
          <a:ext cx="3165928" cy="199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Distribution By</a:t>
          </a:r>
          <a:r>
            <a:rPr lang="en-US" sz="1100" b="1" baseline="0"/>
            <a:t> Sales Executives</a:t>
          </a:r>
          <a:endParaRPr lang="en-NG" sz="1100" b="1"/>
        </a:p>
      </xdr:txBody>
    </xdr:sp>
    <xdr:clientData/>
  </xdr:twoCellAnchor>
  <xdr:twoCellAnchor>
    <xdr:from>
      <xdr:col>11</xdr:col>
      <xdr:colOff>0</xdr:colOff>
      <xdr:row>9</xdr:row>
      <xdr:rowOff>0</xdr:rowOff>
    </xdr:from>
    <xdr:to>
      <xdr:col>13</xdr:col>
      <xdr:colOff>580572</xdr:colOff>
      <xdr:row>10</xdr:row>
      <xdr:rowOff>18143</xdr:rowOff>
    </xdr:to>
    <xdr:sp macro="" textlink="">
      <xdr:nvSpPr>
        <xdr:cNvPr id="21" name="TextBox 20">
          <a:extLst>
            <a:ext uri="{FF2B5EF4-FFF2-40B4-BE49-F238E27FC236}">
              <a16:creationId xmlns:a16="http://schemas.microsoft.com/office/drawing/2014/main" id="{12204D60-025E-46DC-9720-C3ED565F3340}"/>
            </a:ext>
          </a:extLst>
        </xdr:cNvPr>
        <xdr:cNvSpPr txBox="1"/>
      </xdr:nvSpPr>
      <xdr:spPr>
        <a:xfrm>
          <a:off x="5497286" y="1578429"/>
          <a:ext cx="1796143" cy="199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Distribution By</a:t>
          </a:r>
          <a:r>
            <a:rPr lang="en-US" sz="1100" b="1" baseline="0"/>
            <a:t> Gender</a:t>
          </a:r>
          <a:endParaRPr lang="en-NG" sz="1100" b="1"/>
        </a:p>
      </xdr:txBody>
    </xdr:sp>
    <xdr:clientData/>
  </xdr:twoCellAnchor>
  <xdr:twoCellAnchor>
    <xdr:from>
      <xdr:col>15</xdr:col>
      <xdr:colOff>18143</xdr:colOff>
      <xdr:row>9</xdr:row>
      <xdr:rowOff>18144</xdr:rowOff>
    </xdr:from>
    <xdr:to>
      <xdr:col>18</xdr:col>
      <xdr:colOff>9072</xdr:colOff>
      <xdr:row>10</xdr:row>
      <xdr:rowOff>36286</xdr:rowOff>
    </xdr:to>
    <xdr:sp macro="" textlink="">
      <xdr:nvSpPr>
        <xdr:cNvPr id="22" name="TextBox 21">
          <a:extLst>
            <a:ext uri="{FF2B5EF4-FFF2-40B4-BE49-F238E27FC236}">
              <a16:creationId xmlns:a16="http://schemas.microsoft.com/office/drawing/2014/main" id="{D38CAA78-76E6-4B24-A7E8-EFAEE6F4DFAE}"/>
            </a:ext>
          </a:extLst>
        </xdr:cNvPr>
        <xdr:cNvSpPr txBox="1"/>
      </xdr:nvSpPr>
      <xdr:spPr>
        <a:xfrm>
          <a:off x="7493000" y="1596573"/>
          <a:ext cx="1814286" cy="19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Distribution By</a:t>
          </a:r>
          <a:r>
            <a:rPr lang="en-US" sz="1100" b="1" baseline="0"/>
            <a:t> Property Type</a:t>
          </a:r>
          <a:endParaRPr lang="en-NG" sz="1100" b="1"/>
        </a:p>
      </xdr:txBody>
    </xdr:sp>
    <xdr:clientData/>
  </xdr:twoCellAnchor>
  <xdr:twoCellAnchor>
    <xdr:from>
      <xdr:col>15</xdr:col>
      <xdr:colOff>18142</xdr:colOff>
      <xdr:row>22</xdr:row>
      <xdr:rowOff>0</xdr:rowOff>
    </xdr:from>
    <xdr:to>
      <xdr:col>18</xdr:col>
      <xdr:colOff>27214</xdr:colOff>
      <xdr:row>23</xdr:row>
      <xdr:rowOff>36286</xdr:rowOff>
    </xdr:to>
    <xdr:sp macro="" textlink="">
      <xdr:nvSpPr>
        <xdr:cNvPr id="23" name="TextBox 22">
          <a:extLst>
            <a:ext uri="{FF2B5EF4-FFF2-40B4-BE49-F238E27FC236}">
              <a16:creationId xmlns:a16="http://schemas.microsoft.com/office/drawing/2014/main" id="{9C59EF9B-83CD-4E49-9EC5-851E84CA652C}"/>
            </a:ext>
          </a:extLst>
        </xdr:cNvPr>
        <xdr:cNvSpPr txBox="1"/>
      </xdr:nvSpPr>
      <xdr:spPr>
        <a:xfrm>
          <a:off x="7492999" y="3909786"/>
          <a:ext cx="1832429"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Distribution By</a:t>
          </a:r>
          <a:r>
            <a:rPr lang="en-US" sz="1100" b="1" baseline="0"/>
            <a:t> Inspection</a:t>
          </a:r>
        </a:p>
        <a:p>
          <a:pPr algn="l"/>
          <a:endParaRPr lang="en-NG" sz="1100" b="1"/>
        </a:p>
      </xdr:txBody>
    </xdr:sp>
    <xdr:clientData/>
  </xdr:twoCellAnchor>
  <xdr:twoCellAnchor>
    <xdr:from>
      <xdr:col>11</xdr:col>
      <xdr:colOff>0</xdr:colOff>
      <xdr:row>21</xdr:row>
      <xdr:rowOff>127002</xdr:rowOff>
    </xdr:from>
    <xdr:to>
      <xdr:col>14</xdr:col>
      <xdr:colOff>18143</xdr:colOff>
      <xdr:row>23</xdr:row>
      <xdr:rowOff>9073</xdr:rowOff>
    </xdr:to>
    <xdr:sp macro="" textlink="">
      <xdr:nvSpPr>
        <xdr:cNvPr id="24" name="TextBox 23">
          <a:extLst>
            <a:ext uri="{FF2B5EF4-FFF2-40B4-BE49-F238E27FC236}">
              <a16:creationId xmlns:a16="http://schemas.microsoft.com/office/drawing/2014/main" id="{650A858C-C070-4A83-B772-731F80B7CC3E}"/>
            </a:ext>
          </a:extLst>
        </xdr:cNvPr>
        <xdr:cNvSpPr txBox="1"/>
      </xdr:nvSpPr>
      <xdr:spPr>
        <a:xfrm>
          <a:off x="5497286" y="3882573"/>
          <a:ext cx="184150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Distribution By</a:t>
          </a:r>
          <a:r>
            <a:rPr lang="en-US" sz="1100" b="1" baseline="0"/>
            <a:t> Branch</a:t>
          </a:r>
          <a:endParaRPr lang="en-NG" sz="1100" b="1"/>
        </a:p>
      </xdr:txBody>
    </xdr:sp>
    <xdr:clientData/>
  </xdr:twoCellAnchor>
  <xdr:twoCellAnchor>
    <xdr:from>
      <xdr:col>5</xdr:col>
      <xdr:colOff>0</xdr:colOff>
      <xdr:row>22</xdr:row>
      <xdr:rowOff>0</xdr:rowOff>
    </xdr:from>
    <xdr:to>
      <xdr:col>9</xdr:col>
      <xdr:colOff>952500</xdr:colOff>
      <xdr:row>23</xdr:row>
      <xdr:rowOff>18144</xdr:rowOff>
    </xdr:to>
    <xdr:sp macro="" textlink="">
      <xdr:nvSpPr>
        <xdr:cNvPr id="25" name="TextBox 24">
          <a:extLst>
            <a:ext uri="{FF2B5EF4-FFF2-40B4-BE49-F238E27FC236}">
              <a16:creationId xmlns:a16="http://schemas.microsoft.com/office/drawing/2014/main" id="{3D7B6EB8-E887-4519-B8D9-8002B7F1C8F5}"/>
            </a:ext>
          </a:extLst>
        </xdr:cNvPr>
        <xdr:cNvSpPr txBox="1"/>
      </xdr:nvSpPr>
      <xdr:spPr>
        <a:xfrm>
          <a:off x="2131786" y="3909786"/>
          <a:ext cx="3165928" cy="199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t>Distribution By</a:t>
          </a:r>
          <a:r>
            <a:rPr lang="en-US" sz="1100" b="1" baseline="0"/>
            <a:t> Sales Status</a:t>
          </a:r>
          <a:endParaRPr lang="en-NG" sz="1100" b="1"/>
        </a:p>
      </xdr:txBody>
    </xdr:sp>
    <xdr:clientData/>
  </xdr:twoCellAnchor>
  <xdr:twoCellAnchor>
    <xdr:from>
      <xdr:col>5</xdr:col>
      <xdr:colOff>6350</xdr:colOff>
      <xdr:row>1</xdr:row>
      <xdr:rowOff>31750</xdr:rowOff>
    </xdr:from>
    <xdr:to>
      <xdr:col>18</xdr:col>
      <xdr:colOff>12700</xdr:colOff>
      <xdr:row>4</xdr:row>
      <xdr:rowOff>50800</xdr:rowOff>
    </xdr:to>
    <xdr:sp macro="" textlink="">
      <xdr:nvSpPr>
        <xdr:cNvPr id="26" name="TextBox 25">
          <a:extLst>
            <a:ext uri="{FF2B5EF4-FFF2-40B4-BE49-F238E27FC236}">
              <a16:creationId xmlns:a16="http://schemas.microsoft.com/office/drawing/2014/main" id="{2A9C0EAE-4C6F-4AA6-7999-D415B489310F}"/>
            </a:ext>
          </a:extLst>
        </xdr:cNvPr>
        <xdr:cNvSpPr txBox="1"/>
      </xdr:nvSpPr>
      <xdr:spPr>
        <a:xfrm>
          <a:off x="2139950" y="184150"/>
          <a:ext cx="7181850" cy="571500"/>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chemeClr val="bg2"/>
              </a:solidFill>
            </a:rPr>
            <a:t>Emerald Properties Ltd Lead Distribution Analysis, June 2023</a:t>
          </a:r>
          <a:endParaRPr lang="en-NG" sz="2000" b="1">
            <a:solidFill>
              <a:schemeClr val="bg2"/>
            </a:solidFill>
          </a:endParaRPr>
        </a:p>
      </xdr:txBody>
    </xdr:sp>
    <xdr:clientData/>
  </xdr:twoCellAnchor>
  <xdr:twoCellAnchor editAs="oneCell">
    <xdr:from>
      <xdr:col>1</xdr:col>
      <xdr:colOff>38100</xdr:colOff>
      <xdr:row>1</xdr:row>
      <xdr:rowOff>107950</xdr:rowOff>
    </xdr:from>
    <xdr:to>
      <xdr:col>2</xdr:col>
      <xdr:colOff>342900</xdr:colOff>
      <xdr:row>6</xdr:row>
      <xdr:rowOff>101600</xdr:rowOff>
    </xdr:to>
    <xdr:pic>
      <xdr:nvPicPr>
        <xdr:cNvPr id="28" name="Graphic 27" descr="City with solid fill">
          <a:extLst>
            <a:ext uri="{FF2B5EF4-FFF2-40B4-BE49-F238E27FC236}">
              <a16:creationId xmlns:a16="http://schemas.microsoft.com/office/drawing/2014/main" id="{14952EDE-C167-BCA1-C484-05A58D0DC88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90500" y="260350"/>
          <a:ext cx="914400" cy="9144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05.603690972224" backgroundQuery="1" createdVersion="8" refreshedVersion="8" minRefreshableVersion="3" recordCount="0" supportSubquery="1" supportAdvancedDrill="1" xr:uid="{25449A8D-E4C6-4A58-AACB-BD3DFAB89324}">
  <cacheSource type="external" connectionId="2"/>
  <cacheFields count="2">
    <cacheField name="[Measures].[Count of Client ID]" caption="Count of Client ID" numFmtId="0" hierarchy="13" level="32767"/>
    <cacheField name="[July_2023_Sales_Dataset].[Sales].[Sales]" caption="Sales" numFmtId="0" hierarchy="4" level="1">
      <sharedItems count="4">
        <s v="Next Time"/>
        <s v="Not Interested"/>
        <s v="Paid"/>
        <s v="Too Expensive"/>
      </sharedItems>
    </cacheField>
  </cacheFields>
  <cacheHierarchies count="19">
    <cacheHierarchy uniqueName="[July_2023_Sales_Dataset].[Client ID]" caption="Client ID" attribute="1" defaultMemberUniqueName="[July_2023_Sales_Dataset].[Client ID].[All]" allUniqueName="[July_2023_Sales_Dataset].[Client ID].[All]" dimensionUniqueName="[July_2023_Sales_Dataset]" displayFolder="" count="0" memberValueDatatype="130" unbalanced="0"/>
    <cacheHierarchy uniqueName="[July_2023_Sales_Dataset].[Client Gender]" caption="Client Gender" attribute="1" defaultMemberUniqueName="[July_2023_Sales_Dataset].[Client Gender].[All]" allUniqueName="[July_2023_Sales_Dataset].[Client Gender].[All]" dimensionUniqueName="[July_2023_Sales_Dataset]" displayFolder="" count="2" memberValueDatatype="130" unbalanced="0"/>
    <cacheHierarchy uniqueName="[July_2023_Sales_Dataset].[Sales Person]" caption="Sales Person" attribute="1" defaultMemberUniqueName="[July_2023_Sales_Dataset].[Sales Person].[All]" allUniqueName="[July_2023_Sales_Dataset].[Sales Person].[All]" dimensionUniqueName="[July_2023_Sales_Dataset]" displayFolder="" count="2" memberValueDatatype="130" unbalanced="0"/>
    <cacheHierarchy uniqueName="[July_2023_Sales_Dataset].[Date Given]" caption="Date Given" attribute="1" time="1" defaultMemberUniqueName="[July_2023_Sales_Dataset].[Date Given].[All]" allUniqueName="[July_2023_Sales_Dataset].[Date Given].[All]" dimensionUniqueName="[July_2023_Sales_Dataset]" displayFolder="" count="0" memberValueDatatype="7" unbalanced="0"/>
    <cacheHierarchy uniqueName="[July_2023_Sales_Dataset].[Sales]" caption="Sales" attribute="1" defaultMemberUniqueName="[July_2023_Sales_Dataset].[Sales].[All]" allUniqueName="[July_2023_Sales_Dataset].[Sales].[All]" dimensionUniqueName="[July_2023_Sales_Dataset]" displayFolder="" count="2" memberValueDatatype="130" unbalanced="0">
      <fieldsUsage count="2">
        <fieldUsage x="-1"/>
        <fieldUsage x="1"/>
      </fieldsUsage>
    </cacheHierarchy>
    <cacheHierarchy uniqueName="[July_2023_Sales_Dataset].[State]" caption="State" attribute="1" defaultMemberUniqueName="[July_2023_Sales_Dataset].[State].[All]" allUniqueName="[July_2023_Sales_Dataset].[State].[All]" dimensionUniqueName="[July_2023_Sales_Dataset]" displayFolder="" count="2" memberValueDatatype="130" unbalanced="0"/>
    <cacheHierarchy uniqueName="[July_2023_Sales_Dataset].[Product]" caption="Product" attribute="1" defaultMemberUniqueName="[July_2023_Sales_Dataset].[Product].[All]" allUniqueName="[July_2023_Sales_Dataset].[Product].[All]" dimensionUniqueName="[July_2023_Sales_Dataset]" displayFolder="" count="2" memberValueDatatype="130" unbalanced="0"/>
    <cacheHierarchy uniqueName="[July_2023_Sales_Dataset].[Inspection]" caption="Inspection" attribute="1" defaultMemberUniqueName="[July_2023_Sales_Dataset].[Inspection].[All]" allUniqueName="[July_2023_Sales_Dataset].[Inspection].[All]" dimensionUniqueName="[July_2023_Sales_Dataset]" displayFolder="" count="2" memberValueDatatype="130" unbalanced="0"/>
    <cacheHierarchy uniqueName="[July_2023_Sales_Dataset].[Paid Only]" caption="Paid Only" attribute="1" defaultMemberUniqueName="[July_2023_Sales_Dataset].[Paid Only].[All]" allUniqueName="[July_2023_Sales_Dataset].[Paid Only].[All]" dimensionUniqueName="[July_2023_Sales_Dataset]" displayFolder="" count="0" memberValueDatatype="130" unbalanced="0"/>
    <cacheHierarchy uniqueName="[July_2023_Sales_Dataset].[Actual Sales2]" caption="Actual Sales2" attribute="1" defaultMemberUniqueName="[July_2023_Sales_Dataset].[Actual Sales2].[All]" allUniqueName="[July_2023_Sales_Dataset].[Actual Sales2].[All]" dimensionUniqueName="[July_2023_Sales_Dataset]" displayFolder="" count="0" memberValueDatatype="130" unbalanced="0"/>
    <cacheHierarchy uniqueName="[July_2023_Sales_Dataset].[Actual sales]" caption="Actual sales" attribute="1" defaultMemberUniqueName="[July_2023_Sales_Dataset].[Actual sales].[All]" allUniqueName="[July_2023_Sales_Dataset].[Actual sales].[All]" dimensionUniqueName="[July_2023_Sales_Dataset]" displayFolder="" count="0" memberValueDatatype="130" unbalanced="0"/>
    <cacheHierarchy uniqueName="[Measures].[__XL_Count July_2023_Sales_Dataset]" caption="__XL_Count July_2023_Sales_Dataset" measure="1" displayFolder="" measureGroup="July_2023_Sales_Dataset" count="0" hidden="1"/>
    <cacheHierarchy uniqueName="[Measures].[__No measures defined]" caption="__No measures defined" measure="1" displayFolder="" count="0" hidden="1"/>
    <cacheHierarchy uniqueName="[Measures].[Count of Client ID]" caption="Count of Client ID" measure="1" displayFolder="" measureGroup="July_2023_Sale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es]" caption="Count of Sales" measure="1" displayFolder="" measureGroup="July_2023_Sales_Dataset" count="0" hidden="1">
      <extLst>
        <ext xmlns:x15="http://schemas.microsoft.com/office/spreadsheetml/2010/11/main" uri="{B97F6D7D-B522-45F9-BDA1-12C45D357490}">
          <x15:cacheHierarchy aggregatedColumn="4"/>
        </ext>
      </extLst>
    </cacheHierarchy>
    <cacheHierarchy uniqueName="[Measures].[Count of Actual sales]" caption="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Distinct Count of Actual sales]" caption="Distinct 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Count of Paid Only]" caption="Count of Paid Only" measure="1" displayFolder="" measureGroup="July_2023_Sales_Dataset" count="0" hidden="1">
      <extLst>
        <ext xmlns:x15="http://schemas.microsoft.com/office/spreadsheetml/2010/11/main" uri="{B97F6D7D-B522-45F9-BDA1-12C45D357490}">
          <x15:cacheHierarchy aggregatedColumn="8"/>
        </ext>
      </extLst>
    </cacheHierarchy>
    <cacheHierarchy uniqueName="[Measures].[Count of Client Gender]" caption="Count of Client Gender" measure="1" displayFolder="" measureGroup="July_2023_Sales_Dataset" count="0" hidden="1">
      <extLst>
        <ext xmlns:x15="http://schemas.microsoft.com/office/spreadsheetml/2010/11/main" uri="{B97F6D7D-B522-45F9-BDA1-12C45D357490}">
          <x15:cacheHierarchy aggregatedColumn="1"/>
        </ext>
      </extLst>
    </cacheHierarchy>
  </cacheHierarchies>
  <kpis count="0"/>
  <dimensions count="2">
    <dimension name="July_2023_Sales_Dataset" uniqueName="[July_2023_Sales_Dataset]" caption="July_2023_Sales_Dataset"/>
    <dimension measure="1" name="Measures" uniqueName="[Measures]" caption="Measures"/>
  </dimensions>
  <measureGroups count="1">
    <measureGroup name="July_2023_Sales_Dataset" caption="July_2023_Sales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05.60369236111" backgroundQuery="1" createdVersion="8" refreshedVersion="8" minRefreshableVersion="3" recordCount="0" supportSubquery="1" supportAdvancedDrill="1" xr:uid="{91A09DD1-2D72-4E37-B920-03C658A06D19}">
  <cacheSource type="external" connectionId="2"/>
  <cacheFields count="2">
    <cacheField name="[Measures].[Count of Client ID]" caption="Count of Client ID" numFmtId="0" hierarchy="13" level="32767"/>
    <cacheField name="[July_2023_Sales_Dataset].[Sales].[Sales]" caption="Sales" numFmtId="0" hierarchy="4" level="1">
      <sharedItems containsSemiMixedTypes="0" containsNonDate="0" containsString="0"/>
    </cacheField>
  </cacheFields>
  <cacheHierarchies count="19">
    <cacheHierarchy uniqueName="[July_2023_Sales_Dataset].[Client ID]" caption="Client ID" attribute="1" defaultMemberUniqueName="[July_2023_Sales_Dataset].[Client ID].[All]" allUniqueName="[July_2023_Sales_Dataset].[Client ID].[All]" dimensionUniqueName="[July_2023_Sales_Dataset]" displayFolder="" count="0" memberValueDatatype="130" unbalanced="0"/>
    <cacheHierarchy uniqueName="[July_2023_Sales_Dataset].[Client Gender]" caption="Client Gender" attribute="1" defaultMemberUniqueName="[July_2023_Sales_Dataset].[Client Gender].[All]" allUniqueName="[July_2023_Sales_Dataset].[Client Gender].[All]" dimensionUniqueName="[July_2023_Sales_Dataset]" displayFolder="" count="2" memberValueDatatype="130" unbalanced="0"/>
    <cacheHierarchy uniqueName="[July_2023_Sales_Dataset].[Sales Person]" caption="Sales Person" attribute="1" defaultMemberUniqueName="[July_2023_Sales_Dataset].[Sales Person].[All]" allUniqueName="[July_2023_Sales_Dataset].[Sales Person].[All]" dimensionUniqueName="[July_2023_Sales_Dataset]" displayFolder="" count="2" memberValueDatatype="130" unbalanced="0"/>
    <cacheHierarchy uniqueName="[July_2023_Sales_Dataset].[Date Given]" caption="Date Given" attribute="1" time="1" defaultMemberUniqueName="[July_2023_Sales_Dataset].[Date Given].[All]" allUniqueName="[July_2023_Sales_Dataset].[Date Given].[All]" dimensionUniqueName="[July_2023_Sales_Dataset]" displayFolder="" count="0" memberValueDatatype="7" unbalanced="0"/>
    <cacheHierarchy uniqueName="[July_2023_Sales_Dataset].[Sales]" caption="Sales" attribute="1" defaultMemberUniqueName="[July_2023_Sales_Dataset].[Sales].[All]" allUniqueName="[July_2023_Sales_Dataset].[Sales].[All]" dimensionUniqueName="[July_2023_Sales_Dataset]" displayFolder="" count="2" memberValueDatatype="130" unbalanced="0">
      <fieldsUsage count="2">
        <fieldUsage x="-1"/>
        <fieldUsage x="1"/>
      </fieldsUsage>
    </cacheHierarchy>
    <cacheHierarchy uniqueName="[July_2023_Sales_Dataset].[State]" caption="State" attribute="1" defaultMemberUniqueName="[July_2023_Sales_Dataset].[State].[All]" allUniqueName="[July_2023_Sales_Dataset].[State].[All]" dimensionUniqueName="[July_2023_Sales_Dataset]" displayFolder="" count="2" memberValueDatatype="130" unbalanced="0"/>
    <cacheHierarchy uniqueName="[July_2023_Sales_Dataset].[Product]" caption="Product" attribute="1" defaultMemberUniqueName="[July_2023_Sales_Dataset].[Product].[All]" allUniqueName="[July_2023_Sales_Dataset].[Product].[All]" dimensionUniqueName="[July_2023_Sales_Dataset]" displayFolder="" count="2" memberValueDatatype="130" unbalanced="0"/>
    <cacheHierarchy uniqueName="[July_2023_Sales_Dataset].[Inspection]" caption="Inspection" attribute="1" defaultMemberUniqueName="[July_2023_Sales_Dataset].[Inspection].[All]" allUniqueName="[July_2023_Sales_Dataset].[Inspection].[All]" dimensionUniqueName="[July_2023_Sales_Dataset]" displayFolder="" count="2" memberValueDatatype="130" unbalanced="0"/>
    <cacheHierarchy uniqueName="[July_2023_Sales_Dataset].[Paid Only]" caption="Paid Only" attribute="1" defaultMemberUniqueName="[July_2023_Sales_Dataset].[Paid Only].[All]" allUniqueName="[July_2023_Sales_Dataset].[Paid Only].[All]" dimensionUniqueName="[July_2023_Sales_Dataset]" displayFolder="" count="0" memberValueDatatype="130" unbalanced="0"/>
    <cacheHierarchy uniqueName="[July_2023_Sales_Dataset].[Actual Sales2]" caption="Actual Sales2" attribute="1" defaultMemberUniqueName="[July_2023_Sales_Dataset].[Actual Sales2].[All]" allUniqueName="[July_2023_Sales_Dataset].[Actual Sales2].[All]" dimensionUniqueName="[July_2023_Sales_Dataset]" displayFolder="" count="0" memberValueDatatype="130" unbalanced="0"/>
    <cacheHierarchy uniqueName="[July_2023_Sales_Dataset].[Actual sales]" caption="Actual sales" attribute="1" defaultMemberUniqueName="[July_2023_Sales_Dataset].[Actual sales].[All]" allUniqueName="[July_2023_Sales_Dataset].[Actual sales].[All]" dimensionUniqueName="[July_2023_Sales_Dataset]" displayFolder="" count="0" memberValueDatatype="130" unbalanced="0"/>
    <cacheHierarchy uniqueName="[Measures].[__XL_Count July_2023_Sales_Dataset]" caption="__XL_Count July_2023_Sales_Dataset" measure="1" displayFolder="" measureGroup="July_2023_Sales_Dataset" count="0" hidden="1"/>
    <cacheHierarchy uniqueName="[Measures].[__No measures defined]" caption="__No measures defined" measure="1" displayFolder="" count="0" hidden="1"/>
    <cacheHierarchy uniqueName="[Measures].[Count of Client ID]" caption="Count of Client ID" measure="1" displayFolder="" measureGroup="July_2023_Sale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es]" caption="Count of Sales" measure="1" displayFolder="" measureGroup="July_2023_Sales_Dataset" count="0" hidden="1">
      <extLst>
        <ext xmlns:x15="http://schemas.microsoft.com/office/spreadsheetml/2010/11/main" uri="{B97F6D7D-B522-45F9-BDA1-12C45D357490}">
          <x15:cacheHierarchy aggregatedColumn="4"/>
        </ext>
      </extLst>
    </cacheHierarchy>
    <cacheHierarchy uniqueName="[Measures].[Count of Actual sales]" caption="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Distinct Count of Actual sales]" caption="Distinct 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Count of Paid Only]" caption="Count of Paid Only" measure="1" displayFolder="" measureGroup="July_2023_Sales_Dataset" count="0" hidden="1">
      <extLst>
        <ext xmlns:x15="http://schemas.microsoft.com/office/spreadsheetml/2010/11/main" uri="{B97F6D7D-B522-45F9-BDA1-12C45D357490}">
          <x15:cacheHierarchy aggregatedColumn="8"/>
        </ext>
      </extLst>
    </cacheHierarchy>
    <cacheHierarchy uniqueName="[Measures].[Count of Client Gender]" caption="Count of Client Gender" measure="1" displayFolder="" measureGroup="July_2023_Sales_Dataset" count="0" hidden="1">
      <extLst>
        <ext xmlns:x15="http://schemas.microsoft.com/office/spreadsheetml/2010/11/main" uri="{B97F6D7D-B522-45F9-BDA1-12C45D357490}">
          <x15:cacheHierarchy aggregatedColumn="1"/>
        </ext>
      </extLst>
    </cacheHierarchy>
  </cacheHierarchies>
  <kpis count="0"/>
  <dimensions count="2">
    <dimension name="July_2023_Sales_Dataset" uniqueName="[July_2023_Sales_Dataset]" caption="July_2023_Sales_Dataset"/>
    <dimension measure="1" name="Measures" uniqueName="[Measures]" caption="Measures"/>
  </dimensions>
  <measureGroups count="1">
    <measureGroup name="July_2023_Sales_Dataset" caption="July_2023_Sales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05.603693518518" backgroundQuery="1" createdVersion="8" refreshedVersion="8" minRefreshableVersion="3" recordCount="0" supportSubquery="1" supportAdvancedDrill="1" xr:uid="{3C7D4C23-5002-4510-BC96-6B31617C85F4}">
  <cacheSource type="external" connectionId="2"/>
  <cacheFields count="3">
    <cacheField name="[Measures].[Count of Client ID]" caption="Count of Client ID" numFmtId="0" hierarchy="13" level="32767"/>
    <cacheField name="[July_2023_Sales_Dataset].[Sales Person].[Sales Person]" caption="Sales Person" numFmtId="0" hierarchy="2" level="1">
      <sharedItems count="6">
        <s v="Ahmed"/>
        <s v="Chioma"/>
        <s v="Chukwudi"/>
        <s v="Funmi"/>
        <s v="Ngozi"/>
        <s v="Olumide"/>
      </sharedItems>
    </cacheField>
    <cacheField name="[July_2023_Sales_Dataset].[Sales].[Sales]" caption="Sales" numFmtId="0" hierarchy="4" level="1">
      <sharedItems containsSemiMixedTypes="0" containsNonDate="0" containsString="0"/>
    </cacheField>
  </cacheFields>
  <cacheHierarchies count="19">
    <cacheHierarchy uniqueName="[July_2023_Sales_Dataset].[Client ID]" caption="Client ID" attribute="1" defaultMemberUniqueName="[July_2023_Sales_Dataset].[Client ID].[All]" allUniqueName="[July_2023_Sales_Dataset].[Client ID].[All]" dimensionUniqueName="[July_2023_Sales_Dataset]" displayFolder="" count="0" memberValueDatatype="130" unbalanced="0"/>
    <cacheHierarchy uniqueName="[July_2023_Sales_Dataset].[Client Gender]" caption="Client Gender" attribute="1" defaultMemberUniqueName="[July_2023_Sales_Dataset].[Client Gender].[All]" allUniqueName="[July_2023_Sales_Dataset].[Client Gender].[All]" dimensionUniqueName="[July_2023_Sales_Dataset]" displayFolder="" count="2" memberValueDatatype="130" unbalanced="0"/>
    <cacheHierarchy uniqueName="[July_2023_Sales_Dataset].[Sales Person]" caption="Sales Person" attribute="1" defaultMemberUniqueName="[July_2023_Sales_Dataset].[Sales Person].[All]" allUniqueName="[July_2023_Sales_Dataset].[Sales Person].[All]" dimensionUniqueName="[July_2023_Sales_Dataset]" displayFolder="" count="2" memberValueDatatype="130" unbalanced="0">
      <fieldsUsage count="2">
        <fieldUsage x="-1"/>
        <fieldUsage x="1"/>
      </fieldsUsage>
    </cacheHierarchy>
    <cacheHierarchy uniqueName="[July_2023_Sales_Dataset].[Date Given]" caption="Date Given" attribute="1" time="1" defaultMemberUniqueName="[July_2023_Sales_Dataset].[Date Given].[All]" allUniqueName="[July_2023_Sales_Dataset].[Date Given].[All]" dimensionUniqueName="[July_2023_Sales_Dataset]" displayFolder="" count="0" memberValueDatatype="7" unbalanced="0"/>
    <cacheHierarchy uniqueName="[July_2023_Sales_Dataset].[Sales]" caption="Sales" attribute="1" defaultMemberUniqueName="[July_2023_Sales_Dataset].[Sales].[All]" allUniqueName="[July_2023_Sales_Dataset].[Sales].[All]" dimensionUniqueName="[July_2023_Sales_Dataset]" displayFolder="" count="2" memberValueDatatype="130" unbalanced="0">
      <fieldsUsage count="2">
        <fieldUsage x="-1"/>
        <fieldUsage x="2"/>
      </fieldsUsage>
    </cacheHierarchy>
    <cacheHierarchy uniqueName="[July_2023_Sales_Dataset].[State]" caption="State" attribute="1" defaultMemberUniqueName="[July_2023_Sales_Dataset].[State].[All]" allUniqueName="[July_2023_Sales_Dataset].[State].[All]" dimensionUniqueName="[July_2023_Sales_Dataset]" displayFolder="" count="2" memberValueDatatype="130" unbalanced="0"/>
    <cacheHierarchy uniqueName="[July_2023_Sales_Dataset].[Product]" caption="Product" attribute="1" defaultMemberUniqueName="[July_2023_Sales_Dataset].[Product].[All]" allUniqueName="[July_2023_Sales_Dataset].[Product].[All]" dimensionUniqueName="[July_2023_Sales_Dataset]" displayFolder="" count="2" memberValueDatatype="130" unbalanced="0"/>
    <cacheHierarchy uniqueName="[July_2023_Sales_Dataset].[Inspection]" caption="Inspection" attribute="1" defaultMemberUniqueName="[July_2023_Sales_Dataset].[Inspection].[All]" allUniqueName="[July_2023_Sales_Dataset].[Inspection].[All]" dimensionUniqueName="[July_2023_Sales_Dataset]" displayFolder="" count="2" memberValueDatatype="130" unbalanced="0"/>
    <cacheHierarchy uniqueName="[July_2023_Sales_Dataset].[Paid Only]" caption="Paid Only" attribute="1" defaultMemberUniqueName="[July_2023_Sales_Dataset].[Paid Only].[All]" allUniqueName="[July_2023_Sales_Dataset].[Paid Only].[All]" dimensionUniqueName="[July_2023_Sales_Dataset]" displayFolder="" count="0" memberValueDatatype="130" unbalanced="0"/>
    <cacheHierarchy uniqueName="[July_2023_Sales_Dataset].[Actual Sales2]" caption="Actual Sales2" attribute="1" defaultMemberUniqueName="[July_2023_Sales_Dataset].[Actual Sales2].[All]" allUniqueName="[July_2023_Sales_Dataset].[Actual Sales2].[All]" dimensionUniqueName="[July_2023_Sales_Dataset]" displayFolder="" count="0" memberValueDatatype="130" unbalanced="0"/>
    <cacheHierarchy uniqueName="[July_2023_Sales_Dataset].[Actual sales]" caption="Actual sales" attribute="1" defaultMemberUniqueName="[July_2023_Sales_Dataset].[Actual sales].[All]" allUniqueName="[July_2023_Sales_Dataset].[Actual sales].[All]" dimensionUniqueName="[July_2023_Sales_Dataset]" displayFolder="" count="0" memberValueDatatype="130" unbalanced="0"/>
    <cacheHierarchy uniqueName="[Measures].[__XL_Count July_2023_Sales_Dataset]" caption="__XL_Count July_2023_Sales_Dataset" measure="1" displayFolder="" measureGroup="July_2023_Sales_Dataset" count="0" hidden="1"/>
    <cacheHierarchy uniqueName="[Measures].[__No measures defined]" caption="__No measures defined" measure="1" displayFolder="" count="0" hidden="1"/>
    <cacheHierarchy uniqueName="[Measures].[Count of Client ID]" caption="Count of Client ID" measure="1" displayFolder="" measureGroup="July_2023_Sale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es]" caption="Count of Sales" measure="1" displayFolder="" measureGroup="July_2023_Sales_Dataset" count="0" hidden="1">
      <extLst>
        <ext xmlns:x15="http://schemas.microsoft.com/office/spreadsheetml/2010/11/main" uri="{B97F6D7D-B522-45F9-BDA1-12C45D357490}">
          <x15:cacheHierarchy aggregatedColumn="4"/>
        </ext>
      </extLst>
    </cacheHierarchy>
    <cacheHierarchy uniqueName="[Measures].[Count of Actual sales]" caption="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Distinct Count of Actual sales]" caption="Distinct 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Count of Paid Only]" caption="Count of Paid Only" measure="1" displayFolder="" measureGroup="July_2023_Sales_Dataset" count="0" hidden="1">
      <extLst>
        <ext xmlns:x15="http://schemas.microsoft.com/office/spreadsheetml/2010/11/main" uri="{B97F6D7D-B522-45F9-BDA1-12C45D357490}">
          <x15:cacheHierarchy aggregatedColumn="8"/>
        </ext>
      </extLst>
    </cacheHierarchy>
    <cacheHierarchy uniqueName="[Measures].[Count of Client Gender]" caption="Count of Client Gender" measure="1" displayFolder="" measureGroup="July_2023_Sales_Dataset" count="0" hidden="1">
      <extLst>
        <ext xmlns:x15="http://schemas.microsoft.com/office/spreadsheetml/2010/11/main" uri="{B97F6D7D-B522-45F9-BDA1-12C45D357490}">
          <x15:cacheHierarchy aggregatedColumn="1"/>
        </ext>
      </extLst>
    </cacheHierarchy>
  </cacheHierarchies>
  <kpis count="0"/>
  <dimensions count="2">
    <dimension name="July_2023_Sales_Dataset" uniqueName="[July_2023_Sales_Dataset]" caption="July_2023_Sales_Dataset"/>
    <dimension measure="1" name="Measures" uniqueName="[Measures]" caption="Measures"/>
  </dimensions>
  <measureGroups count="1">
    <measureGroup name="July_2023_Sales_Dataset" caption="July_2023_Sales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05.60369502315" backgroundQuery="1" createdVersion="8" refreshedVersion="8" minRefreshableVersion="3" recordCount="0" supportSubquery="1" supportAdvancedDrill="1" xr:uid="{41FB2860-4071-43E2-AE76-B2AAA4350378}">
  <cacheSource type="external" connectionId="2"/>
  <cacheFields count="3">
    <cacheField name="[Measures].[Count of Client ID]" caption="Count of Client ID" numFmtId="0" hierarchy="13" level="32767"/>
    <cacheField name="[July_2023_Sales_Dataset].[Client Gender].[Client Gender]" caption="Client Gender" numFmtId="0" hierarchy="1" level="1">
      <sharedItems count="2">
        <s v="Female"/>
        <s v="Male"/>
      </sharedItems>
    </cacheField>
    <cacheField name="[July_2023_Sales_Dataset].[Sales].[Sales]" caption="Sales" numFmtId="0" hierarchy="4" level="1">
      <sharedItems containsSemiMixedTypes="0" containsNonDate="0" containsString="0"/>
    </cacheField>
  </cacheFields>
  <cacheHierarchies count="19">
    <cacheHierarchy uniqueName="[July_2023_Sales_Dataset].[Client ID]" caption="Client ID" attribute="1" defaultMemberUniqueName="[July_2023_Sales_Dataset].[Client ID].[All]" allUniqueName="[July_2023_Sales_Dataset].[Client ID].[All]" dimensionUniqueName="[July_2023_Sales_Dataset]" displayFolder="" count="0" memberValueDatatype="130" unbalanced="0"/>
    <cacheHierarchy uniqueName="[July_2023_Sales_Dataset].[Client Gender]" caption="Client Gender" attribute="1" defaultMemberUniqueName="[July_2023_Sales_Dataset].[Client Gender].[All]" allUniqueName="[July_2023_Sales_Dataset].[Client Gender].[All]" dimensionUniqueName="[July_2023_Sales_Dataset]" displayFolder="" count="2" memberValueDatatype="130" unbalanced="0">
      <fieldsUsage count="2">
        <fieldUsage x="-1"/>
        <fieldUsage x="1"/>
      </fieldsUsage>
    </cacheHierarchy>
    <cacheHierarchy uniqueName="[July_2023_Sales_Dataset].[Sales Person]" caption="Sales Person" attribute="1" defaultMemberUniqueName="[July_2023_Sales_Dataset].[Sales Person].[All]" allUniqueName="[July_2023_Sales_Dataset].[Sales Person].[All]" dimensionUniqueName="[July_2023_Sales_Dataset]" displayFolder="" count="2" memberValueDatatype="130" unbalanced="0"/>
    <cacheHierarchy uniqueName="[July_2023_Sales_Dataset].[Date Given]" caption="Date Given" attribute="1" time="1" defaultMemberUniqueName="[July_2023_Sales_Dataset].[Date Given].[All]" allUniqueName="[July_2023_Sales_Dataset].[Date Given].[All]" dimensionUniqueName="[July_2023_Sales_Dataset]" displayFolder="" count="0" memberValueDatatype="7" unbalanced="0"/>
    <cacheHierarchy uniqueName="[July_2023_Sales_Dataset].[Sales]" caption="Sales" attribute="1" defaultMemberUniqueName="[July_2023_Sales_Dataset].[Sales].[All]" allUniqueName="[July_2023_Sales_Dataset].[Sales].[All]" dimensionUniqueName="[July_2023_Sales_Dataset]" displayFolder="" count="2" memberValueDatatype="130" unbalanced="0">
      <fieldsUsage count="2">
        <fieldUsage x="-1"/>
        <fieldUsage x="2"/>
      </fieldsUsage>
    </cacheHierarchy>
    <cacheHierarchy uniqueName="[July_2023_Sales_Dataset].[State]" caption="State" attribute="1" defaultMemberUniqueName="[July_2023_Sales_Dataset].[State].[All]" allUniqueName="[July_2023_Sales_Dataset].[State].[All]" dimensionUniqueName="[July_2023_Sales_Dataset]" displayFolder="" count="2" memberValueDatatype="130" unbalanced="0"/>
    <cacheHierarchy uniqueName="[July_2023_Sales_Dataset].[Product]" caption="Product" attribute="1" defaultMemberUniqueName="[July_2023_Sales_Dataset].[Product].[All]" allUniqueName="[July_2023_Sales_Dataset].[Product].[All]" dimensionUniqueName="[July_2023_Sales_Dataset]" displayFolder="" count="2" memberValueDatatype="130" unbalanced="0"/>
    <cacheHierarchy uniqueName="[July_2023_Sales_Dataset].[Inspection]" caption="Inspection" attribute="1" defaultMemberUniqueName="[July_2023_Sales_Dataset].[Inspection].[All]" allUniqueName="[July_2023_Sales_Dataset].[Inspection].[All]" dimensionUniqueName="[July_2023_Sales_Dataset]" displayFolder="" count="2" memberValueDatatype="130" unbalanced="0"/>
    <cacheHierarchy uniqueName="[July_2023_Sales_Dataset].[Paid Only]" caption="Paid Only" attribute="1" defaultMemberUniqueName="[July_2023_Sales_Dataset].[Paid Only].[All]" allUniqueName="[July_2023_Sales_Dataset].[Paid Only].[All]" dimensionUniqueName="[July_2023_Sales_Dataset]" displayFolder="" count="0" memberValueDatatype="130" unbalanced="0"/>
    <cacheHierarchy uniqueName="[July_2023_Sales_Dataset].[Actual Sales2]" caption="Actual Sales2" attribute="1" defaultMemberUniqueName="[July_2023_Sales_Dataset].[Actual Sales2].[All]" allUniqueName="[July_2023_Sales_Dataset].[Actual Sales2].[All]" dimensionUniqueName="[July_2023_Sales_Dataset]" displayFolder="" count="0" memberValueDatatype="130" unbalanced="0"/>
    <cacheHierarchy uniqueName="[July_2023_Sales_Dataset].[Actual sales]" caption="Actual sales" attribute="1" defaultMemberUniqueName="[July_2023_Sales_Dataset].[Actual sales].[All]" allUniqueName="[July_2023_Sales_Dataset].[Actual sales].[All]" dimensionUniqueName="[July_2023_Sales_Dataset]" displayFolder="" count="0" memberValueDatatype="130" unbalanced="0"/>
    <cacheHierarchy uniqueName="[Measures].[__XL_Count July_2023_Sales_Dataset]" caption="__XL_Count July_2023_Sales_Dataset" measure="1" displayFolder="" measureGroup="July_2023_Sales_Dataset" count="0" hidden="1"/>
    <cacheHierarchy uniqueName="[Measures].[__No measures defined]" caption="__No measures defined" measure="1" displayFolder="" count="0" hidden="1"/>
    <cacheHierarchy uniqueName="[Measures].[Count of Client ID]" caption="Count of Client ID" measure="1" displayFolder="" measureGroup="July_2023_Sale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es]" caption="Count of Sales" measure="1" displayFolder="" measureGroup="July_2023_Sales_Dataset" count="0" hidden="1">
      <extLst>
        <ext xmlns:x15="http://schemas.microsoft.com/office/spreadsheetml/2010/11/main" uri="{B97F6D7D-B522-45F9-BDA1-12C45D357490}">
          <x15:cacheHierarchy aggregatedColumn="4"/>
        </ext>
      </extLst>
    </cacheHierarchy>
    <cacheHierarchy uniqueName="[Measures].[Count of Actual sales]" caption="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Distinct Count of Actual sales]" caption="Distinct 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Count of Paid Only]" caption="Count of Paid Only" measure="1" displayFolder="" measureGroup="July_2023_Sales_Dataset" count="0" hidden="1">
      <extLst>
        <ext xmlns:x15="http://schemas.microsoft.com/office/spreadsheetml/2010/11/main" uri="{B97F6D7D-B522-45F9-BDA1-12C45D357490}">
          <x15:cacheHierarchy aggregatedColumn="8"/>
        </ext>
      </extLst>
    </cacheHierarchy>
    <cacheHierarchy uniqueName="[Measures].[Count of Client Gender]" caption="Count of Client Gender" measure="1" displayFolder="" measureGroup="July_2023_Sales_Dataset" count="0" hidden="1">
      <extLst>
        <ext xmlns:x15="http://schemas.microsoft.com/office/spreadsheetml/2010/11/main" uri="{B97F6D7D-B522-45F9-BDA1-12C45D357490}">
          <x15:cacheHierarchy aggregatedColumn="1"/>
        </ext>
      </extLst>
    </cacheHierarchy>
  </cacheHierarchies>
  <kpis count="0"/>
  <dimensions count="2">
    <dimension name="July_2023_Sales_Dataset" uniqueName="[July_2023_Sales_Dataset]" caption="July_2023_Sales_Dataset"/>
    <dimension measure="1" name="Measures" uniqueName="[Measures]" caption="Measures"/>
  </dimensions>
  <measureGroups count="1">
    <measureGroup name="July_2023_Sales_Dataset" caption="July_2023_Sales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05.603697569444" backgroundQuery="1" createdVersion="8" refreshedVersion="8" minRefreshableVersion="3" recordCount="0" supportSubquery="1" supportAdvancedDrill="1" xr:uid="{A565FA4E-18A2-4AAD-945D-3F9F7A0C28DA}">
  <cacheSource type="external" connectionId="2"/>
  <cacheFields count="3">
    <cacheField name="[Measures].[Count of Client ID]" caption="Count of Client ID" numFmtId="0" hierarchy="13" level="32767"/>
    <cacheField name="[July_2023_Sales_Dataset].[State].[State]" caption="State" numFmtId="0" hierarchy="5" level="1">
      <sharedItems count="2">
        <s v="Lagos"/>
        <s v="PH"/>
      </sharedItems>
    </cacheField>
    <cacheField name="[July_2023_Sales_Dataset].[Sales].[Sales]" caption="Sales" numFmtId="0" hierarchy="4" level="1">
      <sharedItems containsSemiMixedTypes="0" containsNonDate="0" containsString="0"/>
    </cacheField>
  </cacheFields>
  <cacheHierarchies count="19">
    <cacheHierarchy uniqueName="[July_2023_Sales_Dataset].[Client ID]" caption="Client ID" attribute="1" defaultMemberUniqueName="[July_2023_Sales_Dataset].[Client ID].[All]" allUniqueName="[July_2023_Sales_Dataset].[Client ID].[All]" dimensionUniqueName="[July_2023_Sales_Dataset]" displayFolder="" count="0" memberValueDatatype="130" unbalanced="0"/>
    <cacheHierarchy uniqueName="[July_2023_Sales_Dataset].[Client Gender]" caption="Client Gender" attribute="1" defaultMemberUniqueName="[July_2023_Sales_Dataset].[Client Gender].[All]" allUniqueName="[July_2023_Sales_Dataset].[Client Gender].[All]" dimensionUniqueName="[July_2023_Sales_Dataset]" displayFolder="" count="2" memberValueDatatype="130" unbalanced="0"/>
    <cacheHierarchy uniqueName="[July_2023_Sales_Dataset].[Sales Person]" caption="Sales Person" attribute="1" defaultMemberUniqueName="[July_2023_Sales_Dataset].[Sales Person].[All]" allUniqueName="[July_2023_Sales_Dataset].[Sales Person].[All]" dimensionUniqueName="[July_2023_Sales_Dataset]" displayFolder="" count="2" memberValueDatatype="130" unbalanced="0"/>
    <cacheHierarchy uniqueName="[July_2023_Sales_Dataset].[Date Given]" caption="Date Given" attribute="1" time="1" defaultMemberUniqueName="[July_2023_Sales_Dataset].[Date Given].[All]" allUniqueName="[July_2023_Sales_Dataset].[Date Given].[All]" dimensionUniqueName="[July_2023_Sales_Dataset]" displayFolder="" count="0" memberValueDatatype="7" unbalanced="0"/>
    <cacheHierarchy uniqueName="[July_2023_Sales_Dataset].[Sales]" caption="Sales" attribute="1" defaultMemberUniqueName="[July_2023_Sales_Dataset].[Sales].[All]" allUniqueName="[July_2023_Sales_Dataset].[Sales].[All]" dimensionUniqueName="[July_2023_Sales_Dataset]" displayFolder="" count="2" memberValueDatatype="130" unbalanced="0">
      <fieldsUsage count="2">
        <fieldUsage x="-1"/>
        <fieldUsage x="2"/>
      </fieldsUsage>
    </cacheHierarchy>
    <cacheHierarchy uniqueName="[July_2023_Sales_Dataset].[State]" caption="State" attribute="1" defaultMemberUniqueName="[July_2023_Sales_Dataset].[State].[All]" allUniqueName="[July_2023_Sales_Dataset].[State].[All]" dimensionUniqueName="[July_2023_Sales_Dataset]" displayFolder="" count="2" memberValueDatatype="130" unbalanced="0">
      <fieldsUsage count="2">
        <fieldUsage x="-1"/>
        <fieldUsage x="1"/>
      </fieldsUsage>
    </cacheHierarchy>
    <cacheHierarchy uniqueName="[July_2023_Sales_Dataset].[Product]" caption="Product" attribute="1" defaultMemberUniqueName="[July_2023_Sales_Dataset].[Product].[All]" allUniqueName="[July_2023_Sales_Dataset].[Product].[All]" dimensionUniqueName="[July_2023_Sales_Dataset]" displayFolder="" count="2" memberValueDatatype="130" unbalanced="0"/>
    <cacheHierarchy uniqueName="[July_2023_Sales_Dataset].[Inspection]" caption="Inspection" attribute="1" defaultMemberUniqueName="[July_2023_Sales_Dataset].[Inspection].[All]" allUniqueName="[July_2023_Sales_Dataset].[Inspection].[All]" dimensionUniqueName="[July_2023_Sales_Dataset]" displayFolder="" count="2" memberValueDatatype="130" unbalanced="0"/>
    <cacheHierarchy uniqueName="[July_2023_Sales_Dataset].[Paid Only]" caption="Paid Only" attribute="1" defaultMemberUniqueName="[July_2023_Sales_Dataset].[Paid Only].[All]" allUniqueName="[July_2023_Sales_Dataset].[Paid Only].[All]" dimensionUniqueName="[July_2023_Sales_Dataset]" displayFolder="" count="0" memberValueDatatype="130" unbalanced="0"/>
    <cacheHierarchy uniqueName="[July_2023_Sales_Dataset].[Actual Sales2]" caption="Actual Sales2" attribute="1" defaultMemberUniqueName="[July_2023_Sales_Dataset].[Actual Sales2].[All]" allUniqueName="[July_2023_Sales_Dataset].[Actual Sales2].[All]" dimensionUniqueName="[July_2023_Sales_Dataset]" displayFolder="" count="0" memberValueDatatype="130" unbalanced="0"/>
    <cacheHierarchy uniqueName="[July_2023_Sales_Dataset].[Actual sales]" caption="Actual sales" attribute="1" defaultMemberUniqueName="[July_2023_Sales_Dataset].[Actual sales].[All]" allUniqueName="[July_2023_Sales_Dataset].[Actual sales].[All]" dimensionUniqueName="[July_2023_Sales_Dataset]" displayFolder="" count="0" memberValueDatatype="130" unbalanced="0"/>
    <cacheHierarchy uniqueName="[Measures].[__XL_Count July_2023_Sales_Dataset]" caption="__XL_Count July_2023_Sales_Dataset" measure="1" displayFolder="" measureGroup="July_2023_Sales_Dataset" count="0" hidden="1"/>
    <cacheHierarchy uniqueName="[Measures].[__No measures defined]" caption="__No measures defined" measure="1" displayFolder="" count="0" hidden="1"/>
    <cacheHierarchy uniqueName="[Measures].[Count of Client ID]" caption="Count of Client ID" measure="1" displayFolder="" measureGroup="July_2023_Sale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es]" caption="Count of Sales" measure="1" displayFolder="" measureGroup="July_2023_Sales_Dataset" count="0" hidden="1">
      <extLst>
        <ext xmlns:x15="http://schemas.microsoft.com/office/spreadsheetml/2010/11/main" uri="{B97F6D7D-B522-45F9-BDA1-12C45D357490}">
          <x15:cacheHierarchy aggregatedColumn="4"/>
        </ext>
      </extLst>
    </cacheHierarchy>
    <cacheHierarchy uniqueName="[Measures].[Count of Actual sales]" caption="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Distinct Count of Actual sales]" caption="Distinct 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Count of Paid Only]" caption="Count of Paid Only" measure="1" displayFolder="" measureGroup="July_2023_Sales_Dataset" count="0" hidden="1">
      <extLst>
        <ext xmlns:x15="http://schemas.microsoft.com/office/spreadsheetml/2010/11/main" uri="{B97F6D7D-B522-45F9-BDA1-12C45D357490}">
          <x15:cacheHierarchy aggregatedColumn="8"/>
        </ext>
      </extLst>
    </cacheHierarchy>
    <cacheHierarchy uniqueName="[Measures].[Count of Client Gender]" caption="Count of Client Gender" measure="1" displayFolder="" measureGroup="July_2023_Sales_Dataset" count="0" hidden="1">
      <extLst>
        <ext xmlns:x15="http://schemas.microsoft.com/office/spreadsheetml/2010/11/main" uri="{B97F6D7D-B522-45F9-BDA1-12C45D357490}">
          <x15:cacheHierarchy aggregatedColumn="1"/>
        </ext>
      </extLst>
    </cacheHierarchy>
  </cacheHierarchies>
  <kpis count="0"/>
  <dimensions count="2">
    <dimension name="July_2023_Sales_Dataset" uniqueName="[July_2023_Sales_Dataset]" caption="July_2023_Sales_Dataset"/>
    <dimension measure="1" name="Measures" uniqueName="[Measures]" caption="Measures"/>
  </dimensions>
  <measureGroups count="1">
    <measureGroup name="July_2023_Sales_Dataset" caption="July_2023_Sales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05.603698611114" backgroundQuery="1" createdVersion="8" refreshedVersion="8" minRefreshableVersion="3" recordCount="0" supportSubquery="1" supportAdvancedDrill="1" xr:uid="{561AFBA7-933E-4830-80C4-3CA67FE5297C}">
  <cacheSource type="external" connectionId="2"/>
  <cacheFields count="3">
    <cacheField name="[Measures].[Count of Client ID]" caption="Count of Client ID" numFmtId="0" hierarchy="13" level="32767"/>
    <cacheField name="[July_2023_Sales_Dataset].[Product].[Product]" caption="Product" numFmtId="0" hierarchy="6" level="1">
      <sharedItems count="3">
        <s v="Commercial"/>
        <s v="Industrial"/>
        <s v="Residential"/>
      </sharedItems>
    </cacheField>
    <cacheField name="[July_2023_Sales_Dataset].[Sales].[Sales]" caption="Sales" numFmtId="0" hierarchy="4" level="1">
      <sharedItems containsSemiMixedTypes="0" containsNonDate="0" containsString="0"/>
    </cacheField>
  </cacheFields>
  <cacheHierarchies count="19">
    <cacheHierarchy uniqueName="[July_2023_Sales_Dataset].[Client ID]" caption="Client ID" attribute="1" defaultMemberUniqueName="[July_2023_Sales_Dataset].[Client ID].[All]" allUniqueName="[July_2023_Sales_Dataset].[Client ID].[All]" dimensionUniqueName="[July_2023_Sales_Dataset]" displayFolder="" count="0" memberValueDatatype="130" unbalanced="0"/>
    <cacheHierarchy uniqueName="[July_2023_Sales_Dataset].[Client Gender]" caption="Client Gender" attribute="1" defaultMemberUniqueName="[July_2023_Sales_Dataset].[Client Gender].[All]" allUniqueName="[July_2023_Sales_Dataset].[Client Gender].[All]" dimensionUniqueName="[July_2023_Sales_Dataset]" displayFolder="" count="2" memberValueDatatype="130" unbalanced="0"/>
    <cacheHierarchy uniqueName="[July_2023_Sales_Dataset].[Sales Person]" caption="Sales Person" attribute="1" defaultMemberUniqueName="[July_2023_Sales_Dataset].[Sales Person].[All]" allUniqueName="[July_2023_Sales_Dataset].[Sales Person].[All]" dimensionUniqueName="[July_2023_Sales_Dataset]" displayFolder="" count="2" memberValueDatatype="130" unbalanced="0"/>
    <cacheHierarchy uniqueName="[July_2023_Sales_Dataset].[Date Given]" caption="Date Given" attribute="1" time="1" defaultMemberUniqueName="[July_2023_Sales_Dataset].[Date Given].[All]" allUniqueName="[July_2023_Sales_Dataset].[Date Given].[All]" dimensionUniqueName="[July_2023_Sales_Dataset]" displayFolder="" count="0" memberValueDatatype="7" unbalanced="0"/>
    <cacheHierarchy uniqueName="[July_2023_Sales_Dataset].[Sales]" caption="Sales" attribute="1" defaultMemberUniqueName="[July_2023_Sales_Dataset].[Sales].[All]" allUniqueName="[July_2023_Sales_Dataset].[Sales].[All]" dimensionUniqueName="[July_2023_Sales_Dataset]" displayFolder="" count="2" memberValueDatatype="130" unbalanced="0">
      <fieldsUsage count="2">
        <fieldUsage x="-1"/>
        <fieldUsage x="2"/>
      </fieldsUsage>
    </cacheHierarchy>
    <cacheHierarchy uniqueName="[July_2023_Sales_Dataset].[State]" caption="State" attribute="1" defaultMemberUniqueName="[July_2023_Sales_Dataset].[State].[All]" allUniqueName="[July_2023_Sales_Dataset].[State].[All]" dimensionUniqueName="[July_2023_Sales_Dataset]" displayFolder="" count="2" memberValueDatatype="130" unbalanced="0"/>
    <cacheHierarchy uniqueName="[July_2023_Sales_Dataset].[Product]" caption="Product" attribute="1" defaultMemberUniqueName="[July_2023_Sales_Dataset].[Product].[All]" allUniqueName="[July_2023_Sales_Dataset].[Product].[All]" dimensionUniqueName="[July_2023_Sales_Dataset]" displayFolder="" count="2" memberValueDatatype="130" unbalanced="0">
      <fieldsUsage count="2">
        <fieldUsage x="-1"/>
        <fieldUsage x="1"/>
      </fieldsUsage>
    </cacheHierarchy>
    <cacheHierarchy uniqueName="[July_2023_Sales_Dataset].[Inspection]" caption="Inspection" attribute="1" defaultMemberUniqueName="[July_2023_Sales_Dataset].[Inspection].[All]" allUniqueName="[July_2023_Sales_Dataset].[Inspection].[All]" dimensionUniqueName="[July_2023_Sales_Dataset]" displayFolder="" count="2" memberValueDatatype="130" unbalanced="0"/>
    <cacheHierarchy uniqueName="[July_2023_Sales_Dataset].[Paid Only]" caption="Paid Only" attribute="1" defaultMemberUniqueName="[July_2023_Sales_Dataset].[Paid Only].[All]" allUniqueName="[July_2023_Sales_Dataset].[Paid Only].[All]" dimensionUniqueName="[July_2023_Sales_Dataset]" displayFolder="" count="0" memberValueDatatype="130" unbalanced="0"/>
    <cacheHierarchy uniqueName="[July_2023_Sales_Dataset].[Actual Sales2]" caption="Actual Sales2" attribute="1" defaultMemberUniqueName="[July_2023_Sales_Dataset].[Actual Sales2].[All]" allUniqueName="[July_2023_Sales_Dataset].[Actual Sales2].[All]" dimensionUniqueName="[July_2023_Sales_Dataset]" displayFolder="" count="0" memberValueDatatype="130" unbalanced="0"/>
    <cacheHierarchy uniqueName="[July_2023_Sales_Dataset].[Actual sales]" caption="Actual sales" attribute="1" defaultMemberUniqueName="[July_2023_Sales_Dataset].[Actual sales].[All]" allUniqueName="[July_2023_Sales_Dataset].[Actual sales].[All]" dimensionUniqueName="[July_2023_Sales_Dataset]" displayFolder="" count="0" memberValueDatatype="130" unbalanced="0"/>
    <cacheHierarchy uniqueName="[Measures].[__XL_Count July_2023_Sales_Dataset]" caption="__XL_Count July_2023_Sales_Dataset" measure="1" displayFolder="" measureGroup="July_2023_Sales_Dataset" count="0" hidden="1"/>
    <cacheHierarchy uniqueName="[Measures].[__No measures defined]" caption="__No measures defined" measure="1" displayFolder="" count="0" hidden="1"/>
    <cacheHierarchy uniqueName="[Measures].[Count of Client ID]" caption="Count of Client ID" measure="1" displayFolder="" measureGroup="July_2023_Sale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es]" caption="Count of Sales" measure="1" displayFolder="" measureGroup="July_2023_Sales_Dataset" count="0" hidden="1">
      <extLst>
        <ext xmlns:x15="http://schemas.microsoft.com/office/spreadsheetml/2010/11/main" uri="{B97F6D7D-B522-45F9-BDA1-12C45D357490}">
          <x15:cacheHierarchy aggregatedColumn="4"/>
        </ext>
      </extLst>
    </cacheHierarchy>
    <cacheHierarchy uniqueName="[Measures].[Count of Actual sales]" caption="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Distinct Count of Actual sales]" caption="Distinct 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Count of Paid Only]" caption="Count of Paid Only" measure="1" displayFolder="" measureGroup="July_2023_Sales_Dataset" count="0" hidden="1">
      <extLst>
        <ext xmlns:x15="http://schemas.microsoft.com/office/spreadsheetml/2010/11/main" uri="{B97F6D7D-B522-45F9-BDA1-12C45D357490}">
          <x15:cacheHierarchy aggregatedColumn="8"/>
        </ext>
      </extLst>
    </cacheHierarchy>
    <cacheHierarchy uniqueName="[Measures].[Count of Client Gender]" caption="Count of Client Gender" measure="1" displayFolder="" measureGroup="July_2023_Sales_Dataset" count="0" hidden="1">
      <extLst>
        <ext xmlns:x15="http://schemas.microsoft.com/office/spreadsheetml/2010/11/main" uri="{B97F6D7D-B522-45F9-BDA1-12C45D357490}">
          <x15:cacheHierarchy aggregatedColumn="1"/>
        </ext>
      </extLst>
    </cacheHierarchy>
  </cacheHierarchies>
  <kpis count="0"/>
  <dimensions count="2">
    <dimension name="July_2023_Sales_Dataset" uniqueName="[July_2023_Sales_Dataset]" caption="July_2023_Sales_Dataset"/>
    <dimension measure="1" name="Measures" uniqueName="[Measures]" caption="Measures"/>
  </dimensions>
  <measureGroups count="1">
    <measureGroup name="July_2023_Sales_Dataset" caption="July_2023_Sales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05.603699884261" backgroundQuery="1" createdVersion="8" refreshedVersion="8" minRefreshableVersion="3" recordCount="0" supportSubquery="1" supportAdvancedDrill="1" xr:uid="{C6E96BB0-1CB3-4B77-A71F-34AC0333C212}">
  <cacheSource type="external" connectionId="2"/>
  <cacheFields count="3">
    <cacheField name="[Measures].[Count of Client ID]" caption="Count of Client ID" numFmtId="0" hierarchy="13" level="32767"/>
    <cacheField name="[July_2023_Sales_Dataset].[Inspection].[Inspection]" caption="Inspection" numFmtId="0" hierarchy="7" level="1">
      <sharedItems count="2">
        <s v="No"/>
        <s v="Yes"/>
      </sharedItems>
    </cacheField>
    <cacheField name="[July_2023_Sales_Dataset].[Sales].[Sales]" caption="Sales" numFmtId="0" hierarchy="4" level="1">
      <sharedItems containsSemiMixedTypes="0" containsNonDate="0" containsString="0"/>
    </cacheField>
  </cacheFields>
  <cacheHierarchies count="19">
    <cacheHierarchy uniqueName="[July_2023_Sales_Dataset].[Client ID]" caption="Client ID" attribute="1" defaultMemberUniqueName="[July_2023_Sales_Dataset].[Client ID].[All]" allUniqueName="[July_2023_Sales_Dataset].[Client ID].[All]" dimensionUniqueName="[July_2023_Sales_Dataset]" displayFolder="" count="0" memberValueDatatype="130" unbalanced="0"/>
    <cacheHierarchy uniqueName="[July_2023_Sales_Dataset].[Client Gender]" caption="Client Gender" attribute="1" defaultMemberUniqueName="[July_2023_Sales_Dataset].[Client Gender].[All]" allUniqueName="[July_2023_Sales_Dataset].[Client Gender].[All]" dimensionUniqueName="[July_2023_Sales_Dataset]" displayFolder="" count="2" memberValueDatatype="130" unbalanced="0"/>
    <cacheHierarchy uniqueName="[July_2023_Sales_Dataset].[Sales Person]" caption="Sales Person" attribute="1" defaultMemberUniqueName="[July_2023_Sales_Dataset].[Sales Person].[All]" allUniqueName="[July_2023_Sales_Dataset].[Sales Person].[All]" dimensionUniqueName="[July_2023_Sales_Dataset]" displayFolder="" count="2" memberValueDatatype="130" unbalanced="0"/>
    <cacheHierarchy uniqueName="[July_2023_Sales_Dataset].[Date Given]" caption="Date Given" attribute="1" time="1" defaultMemberUniqueName="[July_2023_Sales_Dataset].[Date Given].[All]" allUniqueName="[July_2023_Sales_Dataset].[Date Given].[All]" dimensionUniqueName="[July_2023_Sales_Dataset]" displayFolder="" count="0" memberValueDatatype="7" unbalanced="0"/>
    <cacheHierarchy uniqueName="[July_2023_Sales_Dataset].[Sales]" caption="Sales" attribute="1" defaultMemberUniqueName="[July_2023_Sales_Dataset].[Sales].[All]" allUniqueName="[July_2023_Sales_Dataset].[Sales].[All]" dimensionUniqueName="[July_2023_Sales_Dataset]" displayFolder="" count="2" memberValueDatatype="130" unbalanced="0">
      <fieldsUsage count="2">
        <fieldUsage x="-1"/>
        <fieldUsage x="2"/>
      </fieldsUsage>
    </cacheHierarchy>
    <cacheHierarchy uniqueName="[July_2023_Sales_Dataset].[State]" caption="State" attribute="1" defaultMemberUniqueName="[July_2023_Sales_Dataset].[State].[All]" allUniqueName="[July_2023_Sales_Dataset].[State].[All]" dimensionUniqueName="[July_2023_Sales_Dataset]" displayFolder="" count="2" memberValueDatatype="130" unbalanced="0"/>
    <cacheHierarchy uniqueName="[July_2023_Sales_Dataset].[Product]" caption="Product" attribute="1" defaultMemberUniqueName="[July_2023_Sales_Dataset].[Product].[All]" allUniqueName="[July_2023_Sales_Dataset].[Product].[All]" dimensionUniqueName="[July_2023_Sales_Dataset]" displayFolder="" count="2" memberValueDatatype="130" unbalanced="0"/>
    <cacheHierarchy uniqueName="[July_2023_Sales_Dataset].[Inspection]" caption="Inspection" attribute="1" defaultMemberUniqueName="[July_2023_Sales_Dataset].[Inspection].[All]" allUniqueName="[July_2023_Sales_Dataset].[Inspection].[All]" dimensionUniqueName="[July_2023_Sales_Dataset]" displayFolder="" count="2" memberValueDatatype="130" unbalanced="0">
      <fieldsUsage count="2">
        <fieldUsage x="-1"/>
        <fieldUsage x="1"/>
      </fieldsUsage>
    </cacheHierarchy>
    <cacheHierarchy uniqueName="[July_2023_Sales_Dataset].[Paid Only]" caption="Paid Only" attribute="1" defaultMemberUniqueName="[July_2023_Sales_Dataset].[Paid Only].[All]" allUniqueName="[July_2023_Sales_Dataset].[Paid Only].[All]" dimensionUniqueName="[July_2023_Sales_Dataset]" displayFolder="" count="0" memberValueDatatype="130" unbalanced="0"/>
    <cacheHierarchy uniqueName="[July_2023_Sales_Dataset].[Actual Sales2]" caption="Actual Sales2" attribute="1" defaultMemberUniqueName="[July_2023_Sales_Dataset].[Actual Sales2].[All]" allUniqueName="[July_2023_Sales_Dataset].[Actual Sales2].[All]" dimensionUniqueName="[July_2023_Sales_Dataset]" displayFolder="" count="0" memberValueDatatype="130" unbalanced="0"/>
    <cacheHierarchy uniqueName="[July_2023_Sales_Dataset].[Actual sales]" caption="Actual sales" attribute="1" defaultMemberUniqueName="[July_2023_Sales_Dataset].[Actual sales].[All]" allUniqueName="[July_2023_Sales_Dataset].[Actual sales].[All]" dimensionUniqueName="[July_2023_Sales_Dataset]" displayFolder="" count="0" memberValueDatatype="130" unbalanced="0"/>
    <cacheHierarchy uniqueName="[Measures].[__XL_Count July_2023_Sales_Dataset]" caption="__XL_Count July_2023_Sales_Dataset" measure="1" displayFolder="" measureGroup="July_2023_Sales_Dataset" count="0" hidden="1"/>
    <cacheHierarchy uniqueName="[Measures].[__No measures defined]" caption="__No measures defined" measure="1" displayFolder="" count="0" hidden="1"/>
    <cacheHierarchy uniqueName="[Measures].[Count of Client ID]" caption="Count of Client ID" measure="1" displayFolder="" measureGroup="July_2023_Sales_Dataset"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Sales]" caption="Count of Sales" measure="1" displayFolder="" measureGroup="July_2023_Sales_Dataset" count="0" hidden="1">
      <extLst>
        <ext xmlns:x15="http://schemas.microsoft.com/office/spreadsheetml/2010/11/main" uri="{B97F6D7D-B522-45F9-BDA1-12C45D357490}">
          <x15:cacheHierarchy aggregatedColumn="4"/>
        </ext>
      </extLst>
    </cacheHierarchy>
    <cacheHierarchy uniqueName="[Measures].[Count of Actual sales]" caption="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Distinct Count of Actual sales]" caption="Distinct 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Count of Paid Only]" caption="Count of Paid Only" measure="1" displayFolder="" measureGroup="July_2023_Sales_Dataset" count="0" hidden="1">
      <extLst>
        <ext xmlns:x15="http://schemas.microsoft.com/office/spreadsheetml/2010/11/main" uri="{B97F6D7D-B522-45F9-BDA1-12C45D357490}">
          <x15:cacheHierarchy aggregatedColumn="8"/>
        </ext>
      </extLst>
    </cacheHierarchy>
    <cacheHierarchy uniqueName="[Measures].[Count of Client Gender]" caption="Count of Client Gender" measure="1" displayFolder="" measureGroup="July_2023_Sales_Dataset" count="0" hidden="1">
      <extLst>
        <ext xmlns:x15="http://schemas.microsoft.com/office/spreadsheetml/2010/11/main" uri="{B97F6D7D-B522-45F9-BDA1-12C45D357490}">
          <x15:cacheHierarchy aggregatedColumn="1"/>
        </ext>
      </extLst>
    </cacheHierarchy>
  </cacheHierarchies>
  <kpis count="0"/>
  <dimensions count="2">
    <dimension name="July_2023_Sales_Dataset" uniqueName="[July_2023_Sales_Dataset]" caption="July_2023_Sales_Dataset"/>
    <dimension measure="1" name="Measures" uniqueName="[Measures]" caption="Measures"/>
  </dimensions>
  <measureGroups count="1">
    <measureGroup name="July_2023_Sales_Dataset" caption="July_2023_Sales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05.603700925923" backgroundQuery="1" createdVersion="8" refreshedVersion="8" minRefreshableVersion="3" recordCount="0" supportSubquery="1" supportAdvancedDrill="1" xr:uid="{637A4BB1-43F6-4400-92B9-10732F41EEE9}">
  <cacheSource type="external" connectionId="2"/>
  <cacheFields count="4">
    <cacheField name="[July_2023_Sales_Dataset].[Paid Only].[Paid Only]" caption="Paid Only" numFmtId="0" hierarchy="8" level="1">
      <sharedItems containsSemiMixedTypes="0" containsNonDate="0" containsString="0"/>
    </cacheField>
    <cacheField name="[July_2023_Sales_Dataset].[Sales Person].[Sales Person]" caption="Sales Person" numFmtId="0" hierarchy="2" level="1">
      <sharedItems count="6">
        <s v="Ahmed"/>
        <s v="Chioma"/>
        <s v="Chukwudi"/>
        <s v="Funmi"/>
        <s v="Ngozi"/>
        <s v="Olumide"/>
      </sharedItems>
    </cacheField>
    <cacheField name="[July_2023_Sales_Dataset].[Sales].[Sales]" caption="Sales" numFmtId="0" hierarchy="4" level="1">
      <sharedItems count="4">
        <s v="Next Time"/>
        <s v="Not Interested"/>
        <s v="Paid"/>
        <s v="Too Expensive"/>
      </sharedItems>
    </cacheField>
    <cacheField name="[Measures].[Count of Sales]" caption="Count of Sales" numFmtId="0" hierarchy="14" level="32767"/>
  </cacheFields>
  <cacheHierarchies count="19">
    <cacheHierarchy uniqueName="[July_2023_Sales_Dataset].[Client ID]" caption="Client ID" attribute="1" defaultMemberUniqueName="[July_2023_Sales_Dataset].[Client ID].[All]" allUniqueName="[July_2023_Sales_Dataset].[Client ID].[All]" dimensionUniqueName="[July_2023_Sales_Dataset]" displayFolder="" count="2" memberValueDatatype="130" unbalanced="0"/>
    <cacheHierarchy uniqueName="[July_2023_Sales_Dataset].[Client Gender]" caption="Client Gender" attribute="1" defaultMemberUniqueName="[July_2023_Sales_Dataset].[Client Gender].[All]" allUniqueName="[July_2023_Sales_Dataset].[Client Gender].[All]" dimensionUniqueName="[July_2023_Sales_Dataset]" displayFolder="" count="2" memberValueDatatype="130" unbalanced="0"/>
    <cacheHierarchy uniqueName="[July_2023_Sales_Dataset].[Sales Person]" caption="Sales Person" attribute="1" defaultMemberUniqueName="[July_2023_Sales_Dataset].[Sales Person].[All]" allUniqueName="[July_2023_Sales_Dataset].[Sales Person].[All]" dimensionUniqueName="[July_2023_Sales_Dataset]" displayFolder="" count="2" memberValueDatatype="130" unbalanced="0">
      <fieldsUsage count="2">
        <fieldUsage x="-1"/>
        <fieldUsage x="1"/>
      </fieldsUsage>
    </cacheHierarchy>
    <cacheHierarchy uniqueName="[July_2023_Sales_Dataset].[Date Given]" caption="Date Given" attribute="1" time="1" defaultMemberUniqueName="[July_2023_Sales_Dataset].[Date Given].[All]" allUniqueName="[July_2023_Sales_Dataset].[Date Given].[All]" dimensionUniqueName="[July_2023_Sales_Dataset]" displayFolder="" count="0" memberValueDatatype="7" unbalanced="0"/>
    <cacheHierarchy uniqueName="[July_2023_Sales_Dataset].[Sales]" caption="Sales" attribute="1" defaultMemberUniqueName="[July_2023_Sales_Dataset].[Sales].[All]" allUniqueName="[July_2023_Sales_Dataset].[Sales].[All]" dimensionUniqueName="[July_2023_Sales_Dataset]" displayFolder="" count="2" memberValueDatatype="130" unbalanced="0">
      <fieldsUsage count="2">
        <fieldUsage x="-1"/>
        <fieldUsage x="2"/>
      </fieldsUsage>
    </cacheHierarchy>
    <cacheHierarchy uniqueName="[July_2023_Sales_Dataset].[State]" caption="State" attribute="1" defaultMemberUniqueName="[July_2023_Sales_Dataset].[State].[All]" allUniqueName="[July_2023_Sales_Dataset].[State].[All]" dimensionUniqueName="[July_2023_Sales_Dataset]" displayFolder="" count="2" memberValueDatatype="130" unbalanced="0"/>
    <cacheHierarchy uniqueName="[July_2023_Sales_Dataset].[Product]" caption="Product" attribute="1" defaultMemberUniqueName="[July_2023_Sales_Dataset].[Product].[All]" allUniqueName="[July_2023_Sales_Dataset].[Product].[All]" dimensionUniqueName="[July_2023_Sales_Dataset]" displayFolder="" count="2" memberValueDatatype="130" unbalanced="0"/>
    <cacheHierarchy uniqueName="[July_2023_Sales_Dataset].[Inspection]" caption="Inspection" attribute="1" defaultMemberUniqueName="[July_2023_Sales_Dataset].[Inspection].[All]" allUniqueName="[July_2023_Sales_Dataset].[Inspection].[All]" dimensionUniqueName="[July_2023_Sales_Dataset]" displayFolder="" count="2" memberValueDatatype="130" unbalanced="0"/>
    <cacheHierarchy uniqueName="[July_2023_Sales_Dataset].[Paid Only]" caption="Paid Only" attribute="1" defaultMemberUniqueName="[July_2023_Sales_Dataset].[Paid Only].[All]" allUniqueName="[July_2023_Sales_Dataset].[Paid Only].[All]" dimensionUniqueName="[July_2023_Sales_Dataset]" displayFolder="" count="2" memberValueDatatype="130" unbalanced="0">
      <fieldsUsage count="2">
        <fieldUsage x="-1"/>
        <fieldUsage x="0"/>
      </fieldsUsage>
    </cacheHierarchy>
    <cacheHierarchy uniqueName="[July_2023_Sales_Dataset].[Actual Sales2]" caption="Actual Sales2" attribute="1" defaultMemberUniqueName="[July_2023_Sales_Dataset].[Actual Sales2].[All]" allUniqueName="[July_2023_Sales_Dataset].[Actual Sales2].[All]" dimensionUniqueName="[July_2023_Sales_Dataset]" displayFolder="" count="2" memberValueDatatype="130" unbalanced="0"/>
    <cacheHierarchy uniqueName="[July_2023_Sales_Dataset].[Actual sales]" caption="Actual sales" attribute="1" defaultMemberUniqueName="[July_2023_Sales_Dataset].[Actual sales].[All]" allUniqueName="[July_2023_Sales_Dataset].[Actual sales].[All]" dimensionUniqueName="[July_2023_Sales_Dataset]" displayFolder="" count="0" memberValueDatatype="130" unbalanced="0"/>
    <cacheHierarchy uniqueName="[Measures].[__XL_Count July_2023_Sales_Dataset]" caption="__XL_Count July_2023_Sales_Dataset" measure="1" displayFolder="" measureGroup="July_2023_Sales_Dataset" count="0" hidden="1"/>
    <cacheHierarchy uniqueName="[Measures].[__No measures defined]" caption="__No measures defined" measure="1" displayFolder="" count="0" hidden="1"/>
    <cacheHierarchy uniqueName="[Measures].[Count of Client ID]" caption="Count of Client ID" measure="1" displayFolder="" measureGroup="July_2023_Sales_Dataset"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July_2023_Sales_Dataset"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Actual sales]" caption="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Distinct Count of Actual sales]" caption="Distinct 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Count of Paid Only]" caption="Count of Paid Only" measure="1" displayFolder="" measureGroup="July_2023_Sales_Dataset" count="0" hidden="1">
      <extLst>
        <ext xmlns:x15="http://schemas.microsoft.com/office/spreadsheetml/2010/11/main" uri="{B97F6D7D-B522-45F9-BDA1-12C45D357490}">
          <x15:cacheHierarchy aggregatedColumn="8"/>
        </ext>
      </extLst>
    </cacheHierarchy>
    <cacheHierarchy uniqueName="[Measures].[Count of Client Gender]" caption="Count of Client Gender" measure="1" displayFolder="" measureGroup="July_2023_Sales_Dataset" count="0" hidden="1">
      <extLst>
        <ext xmlns:x15="http://schemas.microsoft.com/office/spreadsheetml/2010/11/main" uri="{B97F6D7D-B522-45F9-BDA1-12C45D357490}">
          <x15:cacheHierarchy aggregatedColumn="1"/>
        </ext>
      </extLst>
    </cacheHierarchy>
  </cacheHierarchies>
  <kpis count="0"/>
  <dimensions count="2">
    <dimension name="July_2023_Sales_Dataset" uniqueName="[July_2023_Sales_Dataset]" caption="July_2023_Sales_Dataset"/>
    <dimension measure="1" name="Measures" uniqueName="[Measures]" caption="Measures"/>
  </dimensions>
  <measureGroups count="1">
    <measureGroup name="July_2023_Sales_Dataset" caption="July_2023_Sales_Dataset"/>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benezer U." refreshedDate="46105.560048611114" backgroundQuery="1" createdVersion="3" refreshedVersion="8" minRefreshableVersion="3" recordCount="0" supportSubquery="1" supportAdvancedDrill="1" xr:uid="{A2D01172-D769-4BC8-AAFC-9D9D33B49439}">
  <cacheSource type="external" connectionId="2">
    <extLst>
      <ext xmlns:x14="http://schemas.microsoft.com/office/spreadsheetml/2009/9/main" uri="{F057638F-6D5F-4e77-A914-E7F072B9BCA8}">
        <x14:sourceConnection name="ThisWorkbookDataModel"/>
      </ext>
    </extLst>
  </cacheSource>
  <cacheFields count="0"/>
  <cacheHierarchies count="17">
    <cacheHierarchy uniqueName="[July_2023_Sales_Dataset].[Client ID]" caption="Client ID" attribute="1" defaultMemberUniqueName="[July_2023_Sales_Dataset].[Client ID].[All]" allUniqueName="[July_2023_Sales_Dataset].[Client ID].[All]" dimensionUniqueName="[July_2023_Sales_Dataset]" displayFolder="" count="0" memberValueDatatype="130" unbalanced="0"/>
    <cacheHierarchy uniqueName="[July_2023_Sales_Dataset].[Client Gender]" caption="Client Gender" attribute="1" defaultMemberUniqueName="[July_2023_Sales_Dataset].[Client Gender].[All]" allUniqueName="[July_2023_Sales_Dataset].[Client Gender].[All]" dimensionUniqueName="[July_2023_Sales_Dataset]" displayFolder="" count="2" memberValueDatatype="130" unbalanced="0"/>
    <cacheHierarchy uniqueName="[July_2023_Sales_Dataset].[Sales Person]" caption="Sales Person" attribute="1" defaultMemberUniqueName="[July_2023_Sales_Dataset].[Sales Person].[All]" allUniqueName="[July_2023_Sales_Dataset].[Sales Person].[All]" dimensionUniqueName="[July_2023_Sales_Dataset]" displayFolder="" count="2" memberValueDatatype="130" unbalanced="0"/>
    <cacheHierarchy uniqueName="[July_2023_Sales_Dataset].[Date Given]" caption="Date Given" attribute="1" time="1" defaultMemberUniqueName="[July_2023_Sales_Dataset].[Date Given].[All]" allUniqueName="[July_2023_Sales_Dataset].[Date Given].[All]" dimensionUniqueName="[July_2023_Sales_Dataset]" displayFolder="" count="0" memberValueDatatype="7" unbalanced="0"/>
    <cacheHierarchy uniqueName="[July_2023_Sales_Dataset].[Sales]" caption="Sales" attribute="1" defaultMemberUniqueName="[July_2023_Sales_Dataset].[Sales].[All]" allUniqueName="[July_2023_Sales_Dataset].[Sales].[All]" dimensionUniqueName="[July_2023_Sales_Dataset]" displayFolder="" count="2" memberValueDatatype="130" unbalanced="0"/>
    <cacheHierarchy uniqueName="[July_2023_Sales_Dataset].[State]" caption="State" attribute="1" defaultMemberUniqueName="[July_2023_Sales_Dataset].[State].[All]" allUniqueName="[July_2023_Sales_Dataset].[State].[All]" dimensionUniqueName="[July_2023_Sales_Dataset]" displayFolder="" count="2" memberValueDatatype="130" unbalanced="0"/>
    <cacheHierarchy uniqueName="[July_2023_Sales_Dataset].[Product]" caption="Product" attribute="1" defaultMemberUniqueName="[July_2023_Sales_Dataset].[Product].[All]" allUniqueName="[July_2023_Sales_Dataset].[Product].[All]" dimensionUniqueName="[July_2023_Sales_Dataset]" displayFolder="" count="2" memberValueDatatype="130" unbalanced="0"/>
    <cacheHierarchy uniqueName="[July_2023_Sales_Dataset].[Inspection]" caption="Inspection" attribute="1" defaultMemberUniqueName="[July_2023_Sales_Dataset].[Inspection].[All]" allUniqueName="[July_2023_Sales_Dataset].[Inspection].[All]" dimensionUniqueName="[July_2023_Sales_Dataset]" displayFolder="" count="2" memberValueDatatype="130" unbalanced="0"/>
    <cacheHierarchy uniqueName="[July_2023_Sales_Dataset].[Paid Only]" caption="Paid Only" attribute="1" defaultMemberUniqueName="[July_2023_Sales_Dataset].[Paid Only].[All]" allUniqueName="[July_2023_Sales_Dataset].[Paid Only].[All]" dimensionUniqueName="[July_2023_Sales_Dataset]" displayFolder="" count="0" memberValueDatatype="130" unbalanced="0"/>
    <cacheHierarchy uniqueName="[July_2023_Sales_Dataset].[Actual Sales2]" caption="Actual Sales2" attribute="1" defaultMemberUniqueName="[July_2023_Sales_Dataset].[Actual Sales2].[All]" allUniqueName="[July_2023_Sales_Dataset].[Actual Sales2].[All]" dimensionUniqueName="[July_2023_Sales_Dataset]" displayFolder="" count="0" memberValueDatatype="130" unbalanced="0"/>
    <cacheHierarchy uniqueName="[July_2023_Sales_Dataset].[Actual sales]" caption="Actual sales" attribute="1" defaultMemberUniqueName="[July_2023_Sales_Dataset].[Actual sales].[All]" allUniqueName="[July_2023_Sales_Dataset].[Actual sales].[All]" dimensionUniqueName="[July_2023_Sales_Dataset]" displayFolder="" count="0" memberValueDatatype="130" unbalanced="0"/>
    <cacheHierarchy uniqueName="[Measures].[__XL_Count July_2023_Sales_Dataset]" caption="__XL_Count July_2023_Sales_Dataset" measure="1" displayFolder="" measureGroup="July_2023_Sales_Dataset" count="0" hidden="1"/>
    <cacheHierarchy uniqueName="[Measures].[__No measures defined]" caption="__No measures defined" measure="1" displayFolder="" count="0" hidden="1"/>
    <cacheHierarchy uniqueName="[Measures].[Count of Client ID]" caption="Count of Client ID" measure="1" displayFolder="" measureGroup="July_2023_Sales_Dataset" count="0" hidden="1">
      <extLst>
        <ext xmlns:x15="http://schemas.microsoft.com/office/spreadsheetml/2010/11/main" uri="{B97F6D7D-B522-45F9-BDA1-12C45D357490}">
          <x15:cacheHierarchy aggregatedColumn="0"/>
        </ext>
      </extLst>
    </cacheHierarchy>
    <cacheHierarchy uniqueName="[Measures].[Count of Sales]" caption="Count of Sales" measure="1" displayFolder="" measureGroup="July_2023_Sales_Dataset" count="0" hidden="1">
      <extLst>
        <ext xmlns:x15="http://schemas.microsoft.com/office/spreadsheetml/2010/11/main" uri="{B97F6D7D-B522-45F9-BDA1-12C45D357490}">
          <x15:cacheHierarchy aggregatedColumn="4"/>
        </ext>
      </extLst>
    </cacheHierarchy>
    <cacheHierarchy uniqueName="[Measures].[Count of Actual sales]" caption="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y uniqueName="[Measures].[Distinct Count of Actual sales]" caption="Distinct Count of Actual sales" measure="1" displayFolder="" measureGroup="July_2023_Sales_Dataset"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40804551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16B92B-1E0E-4098-88DC-E54994AC3E90}" name="PivotTable5"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E13:F1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Total Leads" fld="0" subtotal="count" baseField="1"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Lead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July_2023_Sales_Dataset">
        <x15:activeTabTopLevelEntity name="[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812BFE-9D7F-4012-96CE-9B1333B90233}" name="PivotTable6"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I13:J1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Client I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July_2023_Sales_Dataset">
        <x15:activeTabTopLevelEntity name="[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03D842-D272-4A54-8A1B-49752A34C8C3}" name="PivotTable9"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
  <location ref="E20:J28" firstHeaderRow="1" firstDataRow="2" firstDataCol="1"/>
  <pivotFields count="4">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7">
    <i>
      <x/>
    </i>
    <i>
      <x v="1"/>
    </i>
    <i>
      <x v="2"/>
    </i>
    <i>
      <x v="3"/>
    </i>
    <i>
      <x v="4"/>
    </i>
    <i>
      <x v="5"/>
    </i>
    <i t="grand">
      <x/>
    </i>
  </rowItems>
  <colFields count="1">
    <field x="2"/>
  </colFields>
  <colItems count="5">
    <i>
      <x/>
    </i>
    <i>
      <x v="1"/>
    </i>
    <i>
      <x v="2"/>
    </i>
    <i>
      <x v="3"/>
    </i>
    <i t="grand">
      <x/>
    </i>
  </colItems>
  <dataFields count="1">
    <dataField name="Count of Sales" fld="3" subtotal="count" showDataAs="percentOfRow" baseField="0" baseItem="0" numFmtId="10"/>
  </dataFields>
  <pivotHierarchies count="19">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members count="1" level="1">
        <member name="[July_2023_Sales_Dataset].[Paid Only].&amp;[Paid]"/>
      </members>
    </pivotHierarchy>
    <pivotHierarchy dragToData="1"/>
    <pivotHierarchy dragToData="1"/>
    <pivotHierarchy dragToRow="0" dragToCol="0" dragToPage="0" dragToData="1"/>
    <pivotHierarchy dragToRow="0" dragToCol="0" dragToPage="0" dragToData="1"/>
    <pivotHierarchy dragToData="1" caption="Total Lea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July_2023_Sales_Dataset">
        <x15:activeTabTopLevelEntity name="[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125330-A22E-4B63-8FBB-A519F2ECE761}" name="PivotTable3"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I3:J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lient ID" fld="0"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s>
  <pivotHierarchies count="19">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July_2023_Sales_Dataset">
        <x15:activeTabTopLevelEntity name="[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CF42F6-BEC2-4CB9-A5C6-7FED58E276B4}" name="PivotTable2"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E3:F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Count of Client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July_2023_Sales_Dataset">
        <x15:activeTabTopLevelEntity name="[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99143C-D66F-440D-B804-8C12FFDFC9CA}" name="PivotTable1"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Lead" fld="0" subtotal="count" baseField="0" baseItem="0"/>
  </dataFields>
  <pivotHierarchies count="19">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Total Lead"/>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July_2023_Sales_Dataset">
        <x15:activeTabTopLevelEntity name="[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DF5151-004E-42A6-AD38-3727546A62EE}" name="PivotTable7"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16:B19"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Client ID" fld="0" subtotal="count" baseField="0" baseItem="0"/>
  </dataFields>
  <chartFormats count="3">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 count="1" selected="0">
            <x v="0"/>
          </reference>
        </references>
      </pivotArea>
    </chartFormat>
    <chartFormat chart="6" format="8">
      <pivotArea type="data" outline="0" fieldPosition="0">
        <references count="2">
          <reference field="4294967294" count="1" selected="0">
            <x v="0"/>
          </reference>
          <reference field="1" count="1" selected="0">
            <x v="1"/>
          </reference>
        </references>
      </pivotArea>
    </chartFormat>
  </chartFormats>
  <pivotHierarchies count="19">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July_2023_Sales_Dataset">
        <x15:activeTabTopLevelEntity name="[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E711685-B317-4452-929A-4F909036918B}" name="PivotTable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8:B13"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Count of Client ID" fld="0"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19">
    <pivotHierarchy dragToData="1"/>
    <pivotHierarchy multipleItemSelectionAllowed="1" dragToData="1"/>
    <pivotHierarchy multipleItemSelectionAllowed="1"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July_2023_Sales_Dataset">
        <x15:activeTabTopLevelEntity name="[July_2023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2D6786-2217-416F-BD47-433D2EBCFE40}" autoFormatId="16" applyNumberFormats="0" applyBorderFormats="0" applyFontFormats="0" applyPatternFormats="0" applyAlignmentFormats="0" applyWidthHeightFormats="0">
  <queryTableRefresh nextId="12">
    <queryTableFields count="10">
      <queryTableField id="1" name="Client ID" tableColumnId="1"/>
      <queryTableField id="2" name="Client Gender" tableColumnId="2"/>
      <queryTableField id="3" name="Sales Person" tableColumnId="3"/>
      <queryTableField id="4" name="Date Given" tableColumnId="4"/>
      <queryTableField id="5" name="Sales" tableColumnId="5"/>
      <queryTableField id="6" name="State" tableColumnId="6"/>
      <queryTableField id="7" name="Product" tableColumnId="7"/>
      <queryTableField id="8" name="Inspection" tableColumnId="8"/>
      <queryTableField id="10" name="Paid Only" tableColumnId="10"/>
      <queryTableField id="9" name="Actual sale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455DDF99-87E8-43AB-B1BF-098E62EC852F}" sourceName="[July_2023_Sales_Dataset].[Sales Person]">
  <pivotTables>
    <pivotTable tabId="3" name="PivotTable2"/>
    <pivotTable tabId="3" name="PivotTable1"/>
    <pivotTable tabId="3" name="PivotTable3"/>
    <pivotTable tabId="3" name="PivotTable4"/>
    <pivotTable tabId="3" name="PivotTable5"/>
    <pivotTable tabId="3" name="PivotTable6"/>
    <pivotTable tabId="3" name="PivotTable7"/>
    <pivotTable tabId="3" name="PivotTable9"/>
  </pivotTables>
  <data>
    <olap pivotCacheId="1408045512">
      <levels count="2">
        <level uniqueName="[July_2023_Sales_Dataset].[Sales Person].[(All)]" sourceCaption="(All)" count="0"/>
        <level uniqueName="[July_2023_Sales_Dataset].[Sales Person].[Sales Person]" sourceCaption="Sales Person" count="6">
          <ranges>
            <range startItem="0">
              <i n="[July_2023_Sales_Dataset].[Sales Person].&amp;[Ahmed]" c="Ahmed"/>
              <i n="[July_2023_Sales_Dataset].[Sales Person].&amp;[Chioma]" c="Chioma"/>
              <i n="[July_2023_Sales_Dataset].[Sales Person].&amp;[Chukwudi]" c="Chukwudi"/>
              <i n="[July_2023_Sales_Dataset].[Sales Person].&amp;[Funmi]" c="Funmi"/>
              <i n="[July_2023_Sales_Dataset].[Sales Person].&amp;[Ngozi]" c="Ngozi"/>
              <i n="[July_2023_Sales_Dataset].[Sales Person].&amp;[Olumide]" c="Olumide"/>
            </range>
          </ranges>
        </level>
      </levels>
      <selections count="1">
        <selection n="[July_2023_Sales_Dataset].[Sales Per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_Gender" xr10:uid="{F71FFA46-958A-4915-97E8-8E3634C9F529}" sourceName="[July_2023_Sales_Dataset].[Client Gender]">
  <pivotTables>
    <pivotTable tabId="3" name="PivotTable3"/>
    <pivotTable tabId="3" name="PivotTable1"/>
    <pivotTable tabId="3" name="PivotTable2"/>
    <pivotTable tabId="3" name="PivotTable4"/>
    <pivotTable tabId="3" name="PivotTable5"/>
    <pivotTable tabId="3" name="PivotTable6"/>
    <pivotTable tabId="3" name="PivotTable7"/>
    <pivotTable tabId="3" name="PivotTable9"/>
  </pivotTables>
  <data>
    <olap pivotCacheId="1408045512">
      <levels count="2">
        <level uniqueName="[July_2023_Sales_Dataset].[Client Gender].[(All)]" sourceCaption="(All)" count="0"/>
        <level uniqueName="[July_2023_Sales_Dataset].[Client Gender].[Client Gender]" sourceCaption="Client Gender" count="2">
          <ranges>
            <range startItem="0">
              <i n="[July_2023_Sales_Dataset].[Client Gender].&amp;[Female]" c="Female"/>
              <i n="[July_2023_Sales_Dataset].[Client Gender].&amp;[Male]" c="Male"/>
            </range>
          </ranges>
        </level>
      </levels>
      <selections count="1">
        <selection n="[July_2023_Sales_Dataset].[Client 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C454138-04C6-4A1D-9ED6-E9A7B369003A}" sourceName="[July_2023_Sales_Dataset].[Product]">
  <pivotTables>
    <pivotTable tabId="3" name="PivotTable6"/>
    <pivotTable tabId="3" name="PivotTable1"/>
    <pivotTable tabId="3" name="PivotTable2"/>
    <pivotTable tabId="3" name="PivotTable3"/>
    <pivotTable tabId="3" name="PivotTable4"/>
    <pivotTable tabId="3" name="PivotTable5"/>
    <pivotTable tabId="3" name="PivotTable7"/>
    <pivotTable tabId="3" name="PivotTable9"/>
  </pivotTables>
  <data>
    <olap pivotCacheId="1408045512">
      <levels count="2">
        <level uniqueName="[July_2023_Sales_Dataset].[Product].[(All)]" sourceCaption="(All)" count="0"/>
        <level uniqueName="[July_2023_Sales_Dataset].[Product].[Product]" sourceCaption="Product" count="3">
          <ranges>
            <range startItem="0">
              <i n="[July_2023_Sales_Dataset].[Product].&amp;[Commercial]" c="Commercial"/>
              <i n="[July_2023_Sales_Dataset].[Product].&amp;[Industrial]" c="Industrial"/>
              <i n="[July_2023_Sales_Dataset].[Product].&amp;[Residential]" c="Residential"/>
            </range>
          </ranges>
        </level>
      </levels>
      <selections count="1">
        <selection n="[July_2023_Sales_Dataset].[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0BFF14EB-E59C-46A3-90AC-49E5AD090F06}" sourceName="[July_2023_Sales_Dataset].[Sales]">
  <pivotTables>
    <pivotTable tabId="3" name="PivotTable4"/>
    <pivotTable tabId="3" name="PivotTable1"/>
    <pivotTable tabId="3" name="PivotTable2"/>
    <pivotTable tabId="3" name="PivotTable3"/>
    <pivotTable tabId="3" name="PivotTable5"/>
    <pivotTable tabId="3" name="PivotTable6"/>
    <pivotTable tabId="3" name="PivotTable7"/>
    <pivotTable tabId="3" name="PivotTable9"/>
  </pivotTables>
  <data>
    <olap pivotCacheId="1408045512">
      <levels count="2">
        <level uniqueName="[July_2023_Sales_Dataset].[Sales].[(All)]" sourceCaption="(All)" count="0"/>
        <level uniqueName="[July_2023_Sales_Dataset].[Sales].[Sales]" sourceCaption="Sales" count="4">
          <ranges>
            <range startItem="0">
              <i n="[July_2023_Sales_Dataset].[Sales].&amp;[Next Time]" c="Next Time"/>
              <i n="[July_2023_Sales_Dataset].[Sales].&amp;[Not Interested]" c="Not Interested"/>
              <i n="[July_2023_Sales_Dataset].[Sales].&amp;[Paid]" c="Paid"/>
              <i n="[July_2023_Sales_Dataset].[Sales].&amp;[Too Expensive]" c="Too Expensive"/>
            </range>
          </ranges>
        </level>
      </levels>
      <selections count="1">
        <selection n="[July_2023_Sales_Dataset].[Sale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D737462-12E2-459F-9B2F-2994F7805004}" sourceName="[July_2023_Sales_Dataset].[Stat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9"/>
  </pivotTables>
  <data>
    <olap pivotCacheId="1408045512">
      <levels count="2">
        <level uniqueName="[July_2023_Sales_Dataset].[State].[(All)]" sourceCaption="(All)" count="0"/>
        <level uniqueName="[July_2023_Sales_Dataset].[State].[State]" sourceCaption="State" count="2">
          <ranges>
            <range startItem="0">
              <i n="[July_2023_Sales_Dataset].[State].&amp;[Lagos]" c="Lagos"/>
              <i n="[July_2023_Sales_Dataset].[State].&amp;[PH]" c="PH"/>
            </range>
          </ranges>
        </level>
      </levels>
      <selections count="1">
        <selection n="[July_2023_Sales_Dataset].[Stat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 xr10:uid="{85A67131-6D0C-45B6-8502-8610557FB0EF}" sourceName="[July_2023_Sales_Dataset].[Inspection]">
  <pivotTables>
    <pivotTable tabId="3" name="PivotTable7"/>
    <pivotTable tabId="3" name="PivotTable1"/>
    <pivotTable tabId="3" name="PivotTable2"/>
    <pivotTable tabId="3" name="PivotTable3"/>
    <pivotTable tabId="3" name="PivotTable4"/>
    <pivotTable tabId="3" name="PivotTable5"/>
    <pivotTable tabId="3" name="PivotTable6"/>
    <pivotTable tabId="3" name="PivotTable9"/>
  </pivotTables>
  <data>
    <olap pivotCacheId="1408045512">
      <levels count="2">
        <level uniqueName="[July_2023_Sales_Dataset].[Inspection].[(All)]" sourceCaption="(All)" count="0"/>
        <level uniqueName="[July_2023_Sales_Dataset].[Inspection].[Inspection]" sourceCaption="Inspection" count="2">
          <ranges>
            <range startItem="0">
              <i n="[July_2023_Sales_Dataset].[Inspection].&amp;[No]" c="No"/>
              <i n="[July_2023_Sales_Dataset].[Inspection].&amp;[Yes]" c="Yes"/>
            </range>
          </ranges>
        </level>
      </levels>
      <selections count="1">
        <selection n="[July_2023_Sales_Dataset].[Inspec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F68A633B-4035-4769-8C28-56C5F737FE42}" cache="Slicer_Sales_Person" caption="Sales Person" level="1" style="SlicerStyleDark5" rowHeight="251883"/>
  <slicer name="Client Gender" xr10:uid="{19F91A08-0F2B-4BB3-8B5C-705FF5C85DC9}" cache="Slicer_Client_Gender" caption="Client Gender" columnCount="2" level="1" style="SlicerStyleDark5" rowHeight="251883"/>
  <slicer name="Product" xr10:uid="{BD296DDF-06F9-4B32-AE71-05739113F760}" cache="Slicer_Product" caption="Product" columnCount="3" level="1" style="SlicerStyleDark5" rowHeight="251883"/>
  <slicer name="Sales" xr10:uid="{16F3FF6E-9241-4D1D-B86D-C52100C7FBE9}" cache="Slicer_Sales" caption="Sales" level="1" style="SlicerStyleDark5" rowHeight="251883"/>
  <slicer name="State" xr10:uid="{4C28BE63-0E06-41E1-912E-91F86221B7C4}" cache="Slicer_State" caption="State" columnCount="2" level="1" style="SlicerStyleDark5" rowHeight="251883"/>
  <slicer name="Inspection" xr10:uid="{9F1B44FB-0EBD-4CA3-9A79-9F76963A58E7}" cache="Slicer_Inspection" caption="Inspection" columnCount="2" level="1" style="SlicerStyleDark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53EDAFE-AFCB-4A3A-86A6-DE7F30CC611D}" name="July_2023_Sales_Dataset" displayName="July_2023_Sales_Dataset" ref="A1:J194" tableType="queryTable" totalsRowShown="0">
  <autoFilter ref="A1:J194" xr:uid="{A53EDAFE-AFCB-4A3A-86A6-DE7F30CC611D}"/>
  <tableColumns count="10">
    <tableColumn id="1" xr3:uid="{AFE0D228-19C8-4A9F-8B15-D028C5AF1EC2}" uniqueName="1" name="Client ID" queryTableFieldId="1" dataDxfId="8"/>
    <tableColumn id="2" xr3:uid="{480E6E24-124B-47AE-AF3E-FB2A32F1D221}" uniqueName="2" name="Client Gender" queryTableFieldId="2" dataDxfId="7"/>
    <tableColumn id="3" xr3:uid="{55E34BA2-89BF-4EC0-853F-FC3B808ABFC9}" uniqueName="3" name="Sales Person" queryTableFieldId="3" dataDxfId="6"/>
    <tableColumn id="4" xr3:uid="{DCEFA06B-5C21-4A8F-B723-F35181EC42E6}" uniqueName="4" name="Date Given" queryTableFieldId="4" dataDxfId="5"/>
    <tableColumn id="5" xr3:uid="{184DC492-0999-4CC0-9D57-33E8DD6B3A32}" uniqueName="5" name="Sales" queryTableFieldId="5" dataDxfId="4"/>
    <tableColumn id="6" xr3:uid="{BA5EDB59-68F0-4E65-81D3-27AA6F195617}" uniqueName="6" name="State" queryTableFieldId="6" dataDxfId="3"/>
    <tableColumn id="7" xr3:uid="{0EF8891F-6B88-42E3-B910-7D934D802408}" uniqueName="7" name="Product" queryTableFieldId="7" dataDxfId="2"/>
    <tableColumn id="8" xr3:uid="{6A7C0E33-E306-4E0A-8534-3408AF4D9B4A}" uniqueName="8" name="Inspection" queryTableFieldId="8" dataDxfId="1"/>
    <tableColumn id="10" xr3:uid="{7838933E-CCC9-4C71-A975-42E73BC278AC}" uniqueName="10" name="Paid Only" queryTableFieldId="10"/>
    <tableColumn id="9" xr3:uid="{FBC94E40-5E26-4666-81B1-0BA18744C580}" uniqueName="9" name="Actual Sales"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194ED-74CA-4E83-B3C0-297DD6A0C6F7}">
  <dimension ref="A3:J28"/>
  <sheetViews>
    <sheetView topLeftCell="C1" workbookViewId="0">
      <selection activeCell="Q4" sqref="Q4"/>
    </sheetView>
  </sheetViews>
  <sheetFormatPr defaultRowHeight="14.5" x14ac:dyDescent="0.35"/>
  <cols>
    <col min="1" max="1" width="12.453125" bestFit="1" customWidth="1"/>
    <col min="2" max="2" width="15.6328125" bestFit="1" customWidth="1"/>
    <col min="5" max="5" width="12.90625" bestFit="1" customWidth="1"/>
    <col min="6" max="6" width="15.6328125" bestFit="1" customWidth="1"/>
    <col min="7" max="7" width="12.6328125" bestFit="1" customWidth="1"/>
    <col min="8" max="8" width="6.90625" bestFit="1" customWidth="1"/>
    <col min="9" max="9" width="12.54296875" bestFit="1" customWidth="1"/>
    <col min="10" max="10" width="15.6328125" bestFit="1" customWidth="1"/>
  </cols>
  <sheetData>
    <row r="3" spans="1:10" x14ac:dyDescent="0.35">
      <c r="A3" t="s">
        <v>224</v>
      </c>
      <c r="E3" s="2" t="s">
        <v>221</v>
      </c>
      <c r="F3" t="s">
        <v>220</v>
      </c>
      <c r="I3" s="2" t="s">
        <v>221</v>
      </c>
      <c r="J3" t="s">
        <v>220</v>
      </c>
    </row>
    <row r="4" spans="1:10" x14ac:dyDescent="0.35">
      <c r="A4">
        <v>193</v>
      </c>
      <c r="E4" s="3" t="s">
        <v>29</v>
      </c>
      <c r="F4">
        <v>32</v>
      </c>
      <c r="I4" s="3" t="s">
        <v>9</v>
      </c>
      <c r="J4">
        <v>104</v>
      </c>
    </row>
    <row r="5" spans="1:10" x14ac:dyDescent="0.35">
      <c r="E5" s="3" t="s">
        <v>49</v>
      </c>
      <c r="F5">
        <v>31</v>
      </c>
      <c r="I5" s="3" t="s">
        <v>26</v>
      </c>
      <c r="J5">
        <v>89</v>
      </c>
    </row>
    <row r="6" spans="1:10" x14ac:dyDescent="0.35">
      <c r="E6" s="3" t="s">
        <v>10</v>
      </c>
      <c r="F6">
        <v>35</v>
      </c>
      <c r="I6" s="3" t="s">
        <v>222</v>
      </c>
      <c r="J6">
        <v>193</v>
      </c>
    </row>
    <row r="7" spans="1:10" x14ac:dyDescent="0.35">
      <c r="E7" s="3" t="s">
        <v>27</v>
      </c>
      <c r="F7">
        <v>40</v>
      </c>
    </row>
    <row r="8" spans="1:10" x14ac:dyDescent="0.35">
      <c r="A8" s="2" t="s">
        <v>221</v>
      </c>
      <c r="B8" t="s">
        <v>220</v>
      </c>
      <c r="E8" s="3" t="s">
        <v>16</v>
      </c>
      <c r="F8">
        <v>28</v>
      </c>
    </row>
    <row r="9" spans="1:10" x14ac:dyDescent="0.35">
      <c r="A9" s="3" t="s">
        <v>32</v>
      </c>
      <c r="B9">
        <v>30</v>
      </c>
      <c r="E9" s="3" t="s">
        <v>37</v>
      </c>
      <c r="F9">
        <v>27</v>
      </c>
    </row>
    <row r="10" spans="1:10" x14ac:dyDescent="0.35">
      <c r="A10" s="3" t="s">
        <v>11</v>
      </c>
      <c r="B10">
        <v>29</v>
      </c>
      <c r="E10" s="3" t="s">
        <v>222</v>
      </c>
      <c r="F10">
        <v>193</v>
      </c>
    </row>
    <row r="11" spans="1:10" x14ac:dyDescent="0.35">
      <c r="A11" s="3" t="s">
        <v>20</v>
      </c>
      <c r="B11">
        <v>84</v>
      </c>
    </row>
    <row r="12" spans="1:10" x14ac:dyDescent="0.35">
      <c r="A12" s="3" t="s">
        <v>17</v>
      </c>
      <c r="B12">
        <v>50</v>
      </c>
    </row>
    <row r="13" spans="1:10" x14ac:dyDescent="0.35">
      <c r="A13" s="3" t="s">
        <v>222</v>
      </c>
      <c r="B13">
        <v>193</v>
      </c>
      <c r="E13" s="2" t="s">
        <v>221</v>
      </c>
      <c r="F13" t="s">
        <v>223</v>
      </c>
      <c r="I13" s="2" t="s">
        <v>221</v>
      </c>
      <c r="J13" t="s">
        <v>220</v>
      </c>
    </row>
    <row r="14" spans="1:10" x14ac:dyDescent="0.35">
      <c r="E14" s="3" t="s">
        <v>12</v>
      </c>
      <c r="F14">
        <v>102</v>
      </c>
      <c r="I14" s="3" t="s">
        <v>13</v>
      </c>
      <c r="J14">
        <v>61</v>
      </c>
    </row>
    <row r="15" spans="1:10" x14ac:dyDescent="0.35">
      <c r="E15" s="3" t="s">
        <v>21</v>
      </c>
      <c r="F15">
        <v>91</v>
      </c>
      <c r="I15" s="3" t="s">
        <v>18</v>
      </c>
      <c r="J15">
        <v>36</v>
      </c>
    </row>
    <row r="16" spans="1:10" x14ac:dyDescent="0.35">
      <c r="A16" s="2" t="s">
        <v>221</v>
      </c>
      <c r="B16" t="s">
        <v>220</v>
      </c>
      <c r="E16" s="3" t="s">
        <v>222</v>
      </c>
      <c r="F16">
        <v>193</v>
      </c>
      <c r="I16" s="3" t="s">
        <v>22</v>
      </c>
      <c r="J16">
        <v>96</v>
      </c>
    </row>
    <row r="17" spans="1:10" x14ac:dyDescent="0.35">
      <c r="A17" s="3" t="s">
        <v>24</v>
      </c>
      <c r="B17">
        <v>82</v>
      </c>
      <c r="I17" s="3" t="s">
        <v>222</v>
      </c>
      <c r="J17">
        <v>193</v>
      </c>
    </row>
    <row r="18" spans="1:10" x14ac:dyDescent="0.35">
      <c r="A18" s="3" t="s">
        <v>14</v>
      </c>
      <c r="B18">
        <v>111</v>
      </c>
    </row>
    <row r="19" spans="1:10" x14ac:dyDescent="0.35">
      <c r="A19" s="3" t="s">
        <v>222</v>
      </c>
      <c r="B19">
        <v>193</v>
      </c>
    </row>
    <row r="20" spans="1:10" x14ac:dyDescent="0.35">
      <c r="E20" s="2" t="s">
        <v>225</v>
      </c>
      <c r="F20" s="2" t="s">
        <v>229</v>
      </c>
    </row>
    <row r="21" spans="1:10" x14ac:dyDescent="0.35">
      <c r="E21" s="2" t="s">
        <v>221</v>
      </c>
      <c r="F21" t="s">
        <v>32</v>
      </c>
      <c r="G21" t="s">
        <v>11</v>
      </c>
      <c r="H21" t="s">
        <v>20</v>
      </c>
      <c r="I21" t="s">
        <v>17</v>
      </c>
      <c r="J21" t="s">
        <v>222</v>
      </c>
    </row>
    <row r="22" spans="1:10" x14ac:dyDescent="0.35">
      <c r="E22" s="3" t="s">
        <v>29</v>
      </c>
      <c r="F22" s="5">
        <v>6.25E-2</v>
      </c>
      <c r="G22" s="5">
        <v>0.1875</v>
      </c>
      <c r="H22" s="5">
        <v>0.40625</v>
      </c>
      <c r="I22" s="5">
        <v>0.34375</v>
      </c>
      <c r="J22" s="5">
        <v>1</v>
      </c>
    </row>
    <row r="23" spans="1:10" x14ac:dyDescent="0.35">
      <c r="E23" s="3" t="s">
        <v>49</v>
      </c>
      <c r="F23" s="5">
        <v>0.29032258064516131</v>
      </c>
      <c r="G23" s="5">
        <v>3.2258064516129031E-2</v>
      </c>
      <c r="H23" s="5">
        <v>0.35483870967741937</v>
      </c>
      <c r="I23" s="5">
        <v>0.32258064516129031</v>
      </c>
      <c r="J23" s="5">
        <v>1</v>
      </c>
    </row>
    <row r="24" spans="1:10" x14ac:dyDescent="0.35">
      <c r="E24" s="3" t="s">
        <v>10</v>
      </c>
      <c r="F24" s="5">
        <v>0.11428571428571428</v>
      </c>
      <c r="G24" s="5">
        <v>0.17142857142857143</v>
      </c>
      <c r="H24" s="5">
        <v>0.48571428571428571</v>
      </c>
      <c r="I24" s="5">
        <v>0.22857142857142856</v>
      </c>
      <c r="J24" s="5">
        <v>1</v>
      </c>
    </row>
    <row r="25" spans="1:10" x14ac:dyDescent="0.35">
      <c r="E25" s="3" t="s">
        <v>27</v>
      </c>
      <c r="F25" s="5">
        <v>0.17499999999999999</v>
      </c>
      <c r="G25" s="5">
        <v>0.1</v>
      </c>
      <c r="H25" s="5">
        <v>0.4</v>
      </c>
      <c r="I25" s="5">
        <v>0.32500000000000001</v>
      </c>
      <c r="J25" s="5">
        <v>1</v>
      </c>
    </row>
    <row r="26" spans="1:10" x14ac:dyDescent="0.35">
      <c r="E26" s="3" t="s">
        <v>16</v>
      </c>
      <c r="F26" s="5">
        <v>0.17857142857142858</v>
      </c>
      <c r="G26" s="5">
        <v>0.21428571428571427</v>
      </c>
      <c r="H26" s="5">
        <v>0.35714285714285715</v>
      </c>
      <c r="I26" s="5">
        <v>0.25</v>
      </c>
      <c r="J26" s="5">
        <v>1</v>
      </c>
    </row>
    <row r="27" spans="1:10" x14ac:dyDescent="0.35">
      <c r="E27" s="3" t="s">
        <v>37</v>
      </c>
      <c r="F27" s="5">
        <v>0.1111111111111111</v>
      </c>
      <c r="G27" s="5">
        <v>0.22222222222222221</v>
      </c>
      <c r="H27" s="5">
        <v>0.62962962962962965</v>
      </c>
      <c r="I27" s="5">
        <v>3.7037037037037035E-2</v>
      </c>
      <c r="J27" s="5">
        <v>1</v>
      </c>
    </row>
    <row r="28" spans="1:10" x14ac:dyDescent="0.35">
      <c r="E28" s="3" t="s">
        <v>222</v>
      </c>
      <c r="F28" s="5">
        <v>0.15544041450777202</v>
      </c>
      <c r="G28" s="5">
        <v>0.15025906735751296</v>
      </c>
      <c r="H28" s="5">
        <v>0.43523316062176165</v>
      </c>
      <c r="I28" s="5">
        <v>0.25906735751295334</v>
      </c>
      <c r="J28" s="5">
        <v>1</v>
      </c>
    </row>
  </sheetData>
  <pageMargins left="0.7" right="0.7" top="0.75" bottom="0.75" header="0.3" footer="0.3"/>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1D2BB-304E-4F15-8113-5D353782029B}">
  <dimension ref="A1:J194"/>
  <sheetViews>
    <sheetView zoomScale="90" zoomScaleNormal="90" workbookViewId="0">
      <selection activeCell="B25" sqref="B25"/>
    </sheetView>
  </sheetViews>
  <sheetFormatPr defaultRowHeight="14.5" x14ac:dyDescent="0.35"/>
  <cols>
    <col min="1" max="1" width="10.7265625" bestFit="1" customWidth="1"/>
    <col min="2" max="2" width="15.1796875" bestFit="1" customWidth="1"/>
    <col min="3" max="3" width="14.26953125" bestFit="1" customWidth="1"/>
    <col min="4" max="4" width="12.6328125" bestFit="1" customWidth="1"/>
    <col min="5" max="5" width="12.54296875" bestFit="1" customWidth="1"/>
    <col min="6" max="6" width="7.7265625" bestFit="1" customWidth="1"/>
    <col min="7" max="7" width="11" bestFit="1" customWidth="1"/>
    <col min="8" max="8" width="12.26953125" bestFit="1" customWidth="1"/>
    <col min="9" max="9" width="11.36328125" bestFit="1" customWidth="1"/>
    <col min="10" max="10" width="13.7265625" customWidth="1"/>
  </cols>
  <sheetData>
    <row r="1" spans="1:10" x14ac:dyDescent="0.35">
      <c r="A1" t="s">
        <v>0</v>
      </c>
      <c r="B1" t="s">
        <v>1</v>
      </c>
      <c r="C1" t="s">
        <v>2</v>
      </c>
      <c r="D1" t="s">
        <v>3</v>
      </c>
      <c r="E1" t="s">
        <v>4</v>
      </c>
      <c r="F1" t="s">
        <v>5</v>
      </c>
      <c r="G1" t="s">
        <v>6</v>
      </c>
      <c r="H1" t="s">
        <v>7</v>
      </c>
      <c r="I1" t="s">
        <v>228</v>
      </c>
      <c r="J1" t="s">
        <v>227</v>
      </c>
    </row>
    <row r="2" spans="1:10" x14ac:dyDescent="0.35">
      <c r="A2" t="s">
        <v>8</v>
      </c>
      <c r="B2" t="s">
        <v>9</v>
      </c>
      <c r="C2" t="s">
        <v>10</v>
      </c>
      <c r="D2" s="1">
        <v>45108</v>
      </c>
      <c r="E2" t="s">
        <v>11</v>
      </c>
      <c r="F2" t="s">
        <v>12</v>
      </c>
      <c r="G2" t="s">
        <v>13</v>
      </c>
      <c r="H2" t="s">
        <v>14</v>
      </c>
      <c r="I2" t="s">
        <v>226</v>
      </c>
      <c r="J2" t="s">
        <v>11</v>
      </c>
    </row>
    <row r="3" spans="1:10" x14ac:dyDescent="0.35">
      <c r="A3" t="s">
        <v>15</v>
      </c>
      <c r="B3" t="s">
        <v>9</v>
      </c>
      <c r="C3" t="s">
        <v>16</v>
      </c>
      <c r="D3" s="1">
        <v>45109</v>
      </c>
      <c r="E3" t="s">
        <v>17</v>
      </c>
      <c r="F3" t="s">
        <v>12</v>
      </c>
      <c r="G3" t="s">
        <v>18</v>
      </c>
      <c r="H3" t="s">
        <v>14</v>
      </c>
      <c r="I3" t="s">
        <v>226</v>
      </c>
      <c r="J3" t="s">
        <v>17</v>
      </c>
    </row>
    <row r="4" spans="1:10" x14ac:dyDescent="0.35">
      <c r="A4" t="s">
        <v>19</v>
      </c>
      <c r="B4" t="s">
        <v>9</v>
      </c>
      <c r="C4" t="s">
        <v>10</v>
      </c>
      <c r="D4" s="1">
        <v>45110</v>
      </c>
      <c r="E4" t="s">
        <v>20</v>
      </c>
      <c r="F4" t="s">
        <v>21</v>
      </c>
      <c r="G4" t="s">
        <v>22</v>
      </c>
      <c r="H4" t="s">
        <v>14</v>
      </c>
      <c r="I4" t="s">
        <v>20</v>
      </c>
      <c r="J4" t="s">
        <v>20</v>
      </c>
    </row>
    <row r="5" spans="1:10" x14ac:dyDescent="0.35">
      <c r="A5" t="s">
        <v>23</v>
      </c>
      <c r="B5" t="s">
        <v>9</v>
      </c>
      <c r="C5" t="s">
        <v>10</v>
      </c>
      <c r="D5" s="1">
        <v>45111</v>
      </c>
      <c r="E5" t="s">
        <v>17</v>
      </c>
      <c r="F5" t="s">
        <v>12</v>
      </c>
      <c r="G5" t="s">
        <v>13</v>
      </c>
      <c r="H5" t="s">
        <v>24</v>
      </c>
      <c r="I5" t="s">
        <v>226</v>
      </c>
      <c r="J5" t="s">
        <v>17</v>
      </c>
    </row>
    <row r="6" spans="1:10" x14ac:dyDescent="0.35">
      <c r="A6" t="s">
        <v>25</v>
      </c>
      <c r="B6" t="s">
        <v>26</v>
      </c>
      <c r="C6" t="s">
        <v>27</v>
      </c>
      <c r="D6" s="1">
        <v>45112</v>
      </c>
      <c r="E6" t="s">
        <v>20</v>
      </c>
      <c r="F6" t="s">
        <v>21</v>
      </c>
      <c r="G6" t="s">
        <v>22</v>
      </c>
      <c r="H6" t="s">
        <v>14</v>
      </c>
      <c r="I6" t="s">
        <v>20</v>
      </c>
      <c r="J6" t="s">
        <v>20</v>
      </c>
    </row>
    <row r="7" spans="1:10" x14ac:dyDescent="0.35">
      <c r="A7" t="s">
        <v>28</v>
      </c>
      <c r="B7" t="s">
        <v>9</v>
      </c>
      <c r="C7" t="s">
        <v>29</v>
      </c>
      <c r="D7" s="1">
        <v>45113</v>
      </c>
      <c r="E7" t="s">
        <v>11</v>
      </c>
      <c r="F7" t="s">
        <v>21</v>
      </c>
      <c r="G7" t="s">
        <v>22</v>
      </c>
      <c r="H7" t="s">
        <v>24</v>
      </c>
      <c r="I7" t="s">
        <v>226</v>
      </c>
      <c r="J7" t="s">
        <v>11</v>
      </c>
    </row>
    <row r="8" spans="1:10" x14ac:dyDescent="0.35">
      <c r="A8" t="s">
        <v>30</v>
      </c>
      <c r="B8" t="s">
        <v>9</v>
      </c>
      <c r="C8" t="s">
        <v>27</v>
      </c>
      <c r="D8" s="1">
        <v>45114</v>
      </c>
      <c r="E8" t="s">
        <v>17</v>
      </c>
      <c r="F8" t="s">
        <v>12</v>
      </c>
      <c r="G8" t="s">
        <v>18</v>
      </c>
      <c r="H8" t="s">
        <v>24</v>
      </c>
      <c r="I8" t="s">
        <v>226</v>
      </c>
      <c r="J8" t="s">
        <v>17</v>
      </c>
    </row>
    <row r="9" spans="1:10" x14ac:dyDescent="0.35">
      <c r="A9" t="s">
        <v>31</v>
      </c>
      <c r="B9" t="s">
        <v>9</v>
      </c>
      <c r="C9" t="s">
        <v>10</v>
      </c>
      <c r="D9" s="1">
        <v>45115</v>
      </c>
      <c r="E9" t="s">
        <v>32</v>
      </c>
      <c r="F9" t="s">
        <v>12</v>
      </c>
      <c r="G9" t="s">
        <v>22</v>
      </c>
      <c r="H9" t="s">
        <v>24</v>
      </c>
      <c r="I9" t="s">
        <v>226</v>
      </c>
      <c r="J9" t="s">
        <v>32</v>
      </c>
    </row>
    <row r="10" spans="1:10" x14ac:dyDescent="0.35">
      <c r="A10" t="s">
        <v>33</v>
      </c>
      <c r="B10" t="s">
        <v>9</v>
      </c>
      <c r="C10" t="s">
        <v>27</v>
      </c>
      <c r="D10" s="1">
        <v>45116</v>
      </c>
      <c r="E10" t="s">
        <v>17</v>
      </c>
      <c r="F10" t="s">
        <v>21</v>
      </c>
      <c r="G10" t="s">
        <v>18</v>
      </c>
      <c r="H10" t="s">
        <v>24</v>
      </c>
      <c r="I10" t="s">
        <v>226</v>
      </c>
      <c r="J10" t="s">
        <v>17</v>
      </c>
    </row>
    <row r="11" spans="1:10" x14ac:dyDescent="0.35">
      <c r="A11" t="s">
        <v>34</v>
      </c>
      <c r="B11" t="s">
        <v>26</v>
      </c>
      <c r="C11" t="s">
        <v>27</v>
      </c>
      <c r="D11" s="1">
        <v>45117</v>
      </c>
      <c r="E11" t="s">
        <v>20</v>
      </c>
      <c r="F11" t="s">
        <v>12</v>
      </c>
      <c r="G11" t="s">
        <v>22</v>
      </c>
      <c r="H11" t="s">
        <v>14</v>
      </c>
      <c r="I11" t="s">
        <v>20</v>
      </c>
      <c r="J11" t="s">
        <v>20</v>
      </c>
    </row>
    <row r="12" spans="1:10" x14ac:dyDescent="0.35">
      <c r="A12" t="s">
        <v>35</v>
      </c>
      <c r="B12" t="s">
        <v>9</v>
      </c>
      <c r="C12" t="s">
        <v>27</v>
      </c>
      <c r="D12" s="1">
        <v>45118</v>
      </c>
      <c r="E12" t="s">
        <v>32</v>
      </c>
      <c r="F12" t="s">
        <v>21</v>
      </c>
      <c r="G12" t="s">
        <v>13</v>
      </c>
      <c r="H12" t="s">
        <v>24</v>
      </c>
      <c r="I12" t="s">
        <v>226</v>
      </c>
      <c r="J12" t="s">
        <v>32</v>
      </c>
    </row>
    <row r="13" spans="1:10" x14ac:dyDescent="0.35">
      <c r="A13" t="s">
        <v>36</v>
      </c>
      <c r="B13" t="s">
        <v>9</v>
      </c>
      <c r="C13" t="s">
        <v>37</v>
      </c>
      <c r="D13" s="1">
        <v>45119</v>
      </c>
      <c r="E13" t="s">
        <v>32</v>
      </c>
      <c r="F13" t="s">
        <v>12</v>
      </c>
      <c r="G13" t="s">
        <v>18</v>
      </c>
      <c r="H13" t="s">
        <v>24</v>
      </c>
      <c r="I13" t="s">
        <v>226</v>
      </c>
      <c r="J13" t="s">
        <v>32</v>
      </c>
    </row>
    <row r="14" spans="1:10" x14ac:dyDescent="0.35">
      <c r="A14" t="s">
        <v>38</v>
      </c>
      <c r="B14" t="s">
        <v>9</v>
      </c>
      <c r="C14" t="s">
        <v>10</v>
      </c>
      <c r="D14" s="1">
        <v>45120</v>
      </c>
      <c r="E14" t="s">
        <v>32</v>
      </c>
      <c r="F14" t="s">
        <v>12</v>
      </c>
      <c r="G14" t="s">
        <v>22</v>
      </c>
      <c r="H14" t="s">
        <v>14</v>
      </c>
      <c r="I14" t="s">
        <v>226</v>
      </c>
      <c r="J14" t="s">
        <v>32</v>
      </c>
    </row>
    <row r="15" spans="1:10" x14ac:dyDescent="0.35">
      <c r="A15" t="s">
        <v>39</v>
      </c>
      <c r="B15" t="s">
        <v>26</v>
      </c>
      <c r="C15" t="s">
        <v>10</v>
      </c>
      <c r="D15" s="1">
        <v>45121</v>
      </c>
      <c r="E15" t="s">
        <v>20</v>
      </c>
      <c r="F15" t="s">
        <v>12</v>
      </c>
      <c r="G15" t="s">
        <v>13</v>
      </c>
      <c r="H15" t="s">
        <v>24</v>
      </c>
      <c r="I15" t="s">
        <v>20</v>
      </c>
      <c r="J15" t="s">
        <v>20</v>
      </c>
    </row>
    <row r="16" spans="1:10" x14ac:dyDescent="0.35">
      <c r="A16" t="s">
        <v>40</v>
      </c>
      <c r="B16" t="s">
        <v>9</v>
      </c>
      <c r="C16" t="s">
        <v>27</v>
      </c>
      <c r="D16" s="1">
        <v>45122</v>
      </c>
      <c r="E16" t="s">
        <v>20</v>
      </c>
      <c r="F16" t="s">
        <v>21</v>
      </c>
      <c r="G16" t="s">
        <v>13</v>
      </c>
      <c r="H16" t="s">
        <v>14</v>
      </c>
      <c r="I16" t="s">
        <v>20</v>
      </c>
      <c r="J16" t="s">
        <v>20</v>
      </c>
    </row>
    <row r="17" spans="1:10" x14ac:dyDescent="0.35">
      <c r="A17" t="s">
        <v>41</v>
      </c>
      <c r="B17" t="s">
        <v>9</v>
      </c>
      <c r="C17" t="s">
        <v>16</v>
      </c>
      <c r="D17" s="1">
        <v>45123</v>
      </c>
      <c r="E17" t="s">
        <v>11</v>
      </c>
      <c r="F17" t="s">
        <v>12</v>
      </c>
      <c r="G17" t="s">
        <v>13</v>
      </c>
      <c r="H17" t="s">
        <v>14</v>
      </c>
      <c r="I17" t="s">
        <v>226</v>
      </c>
      <c r="J17" t="s">
        <v>11</v>
      </c>
    </row>
    <row r="18" spans="1:10" x14ac:dyDescent="0.35">
      <c r="A18" t="s">
        <v>42</v>
      </c>
      <c r="B18" t="s">
        <v>26</v>
      </c>
      <c r="C18" t="s">
        <v>10</v>
      </c>
      <c r="D18" s="1">
        <v>45124</v>
      </c>
      <c r="E18" t="s">
        <v>17</v>
      </c>
      <c r="F18" t="s">
        <v>12</v>
      </c>
      <c r="G18" t="s">
        <v>18</v>
      </c>
      <c r="H18" t="s">
        <v>24</v>
      </c>
      <c r="I18" t="s">
        <v>226</v>
      </c>
      <c r="J18" t="s">
        <v>17</v>
      </c>
    </row>
    <row r="19" spans="1:10" x14ac:dyDescent="0.35">
      <c r="A19" t="s">
        <v>43</v>
      </c>
      <c r="B19" t="s">
        <v>9</v>
      </c>
      <c r="C19" t="s">
        <v>10</v>
      </c>
      <c r="D19" s="1">
        <v>45125</v>
      </c>
      <c r="E19" t="s">
        <v>17</v>
      </c>
      <c r="F19" t="s">
        <v>12</v>
      </c>
      <c r="G19" t="s">
        <v>13</v>
      </c>
      <c r="H19" t="s">
        <v>24</v>
      </c>
      <c r="I19" t="s">
        <v>226</v>
      </c>
      <c r="J19" t="s">
        <v>17</v>
      </c>
    </row>
    <row r="20" spans="1:10" x14ac:dyDescent="0.35">
      <c r="A20" t="s">
        <v>44</v>
      </c>
      <c r="B20" t="s">
        <v>26</v>
      </c>
      <c r="C20" t="s">
        <v>16</v>
      </c>
      <c r="D20" s="1">
        <v>45126</v>
      </c>
      <c r="E20" t="s">
        <v>32</v>
      </c>
      <c r="F20" t="s">
        <v>12</v>
      </c>
      <c r="G20" t="s">
        <v>13</v>
      </c>
      <c r="H20" t="s">
        <v>24</v>
      </c>
      <c r="I20" t="s">
        <v>226</v>
      </c>
      <c r="J20" t="s">
        <v>32</v>
      </c>
    </row>
    <row r="21" spans="1:10" x14ac:dyDescent="0.35">
      <c r="A21" t="s">
        <v>45</v>
      </c>
      <c r="B21" t="s">
        <v>26</v>
      </c>
      <c r="C21" t="s">
        <v>37</v>
      </c>
      <c r="D21" s="1">
        <v>45127</v>
      </c>
      <c r="E21" t="s">
        <v>20</v>
      </c>
      <c r="F21" t="s">
        <v>21</v>
      </c>
      <c r="G21" t="s">
        <v>22</v>
      </c>
      <c r="H21" t="s">
        <v>14</v>
      </c>
      <c r="I21" t="s">
        <v>20</v>
      </c>
      <c r="J21" t="s">
        <v>20</v>
      </c>
    </row>
    <row r="22" spans="1:10" x14ac:dyDescent="0.35">
      <c r="A22" t="s">
        <v>46</v>
      </c>
      <c r="B22" t="s">
        <v>26</v>
      </c>
      <c r="C22" t="s">
        <v>27</v>
      </c>
      <c r="D22" s="1">
        <v>45128</v>
      </c>
      <c r="E22" t="s">
        <v>17</v>
      </c>
      <c r="F22" t="s">
        <v>12</v>
      </c>
      <c r="G22" t="s">
        <v>18</v>
      </c>
      <c r="H22" t="s">
        <v>24</v>
      </c>
      <c r="I22" t="s">
        <v>226</v>
      </c>
      <c r="J22" t="s">
        <v>17</v>
      </c>
    </row>
    <row r="23" spans="1:10" x14ac:dyDescent="0.35">
      <c r="A23" t="s">
        <v>47</v>
      </c>
      <c r="B23" t="s">
        <v>9</v>
      </c>
      <c r="C23" t="s">
        <v>16</v>
      </c>
      <c r="D23" s="1">
        <v>45129</v>
      </c>
      <c r="E23" t="s">
        <v>17</v>
      </c>
      <c r="F23" t="s">
        <v>21</v>
      </c>
      <c r="G23" t="s">
        <v>13</v>
      </c>
      <c r="H23" t="s">
        <v>14</v>
      </c>
      <c r="I23" t="s">
        <v>226</v>
      </c>
      <c r="J23" t="s">
        <v>17</v>
      </c>
    </row>
    <row r="24" spans="1:10" x14ac:dyDescent="0.35">
      <c r="A24" t="s">
        <v>48</v>
      </c>
      <c r="B24" t="s">
        <v>9</v>
      </c>
      <c r="C24" t="s">
        <v>49</v>
      </c>
      <c r="D24" s="1">
        <v>45130</v>
      </c>
      <c r="E24" t="s">
        <v>17</v>
      </c>
      <c r="F24" t="s">
        <v>12</v>
      </c>
      <c r="G24" t="s">
        <v>18</v>
      </c>
      <c r="H24" t="s">
        <v>14</v>
      </c>
      <c r="I24" t="s">
        <v>226</v>
      </c>
      <c r="J24" t="s">
        <v>17</v>
      </c>
    </row>
    <row r="25" spans="1:10" x14ac:dyDescent="0.35">
      <c r="A25" t="s">
        <v>50</v>
      </c>
      <c r="B25" t="s">
        <v>9</v>
      </c>
      <c r="C25" t="s">
        <v>27</v>
      </c>
      <c r="D25" s="1">
        <v>45131</v>
      </c>
      <c r="E25" t="s">
        <v>32</v>
      </c>
      <c r="F25" t="s">
        <v>12</v>
      </c>
      <c r="G25" t="s">
        <v>18</v>
      </c>
      <c r="H25" t="s">
        <v>24</v>
      </c>
      <c r="I25" t="s">
        <v>226</v>
      </c>
      <c r="J25" t="s">
        <v>32</v>
      </c>
    </row>
    <row r="26" spans="1:10" x14ac:dyDescent="0.35">
      <c r="A26" t="s">
        <v>51</v>
      </c>
      <c r="B26" t="s">
        <v>9</v>
      </c>
      <c r="C26" t="s">
        <v>29</v>
      </c>
      <c r="D26" s="1">
        <v>45132</v>
      </c>
      <c r="E26" t="s">
        <v>20</v>
      </c>
      <c r="F26" t="s">
        <v>21</v>
      </c>
      <c r="G26" t="s">
        <v>22</v>
      </c>
      <c r="H26" t="s">
        <v>14</v>
      </c>
      <c r="I26" t="s">
        <v>20</v>
      </c>
      <c r="J26" t="s">
        <v>20</v>
      </c>
    </row>
    <row r="27" spans="1:10" x14ac:dyDescent="0.35">
      <c r="A27" t="s">
        <v>52</v>
      </c>
      <c r="B27" t="s">
        <v>26</v>
      </c>
      <c r="C27" t="s">
        <v>27</v>
      </c>
      <c r="D27" s="1">
        <v>45133</v>
      </c>
      <c r="E27" t="s">
        <v>11</v>
      </c>
      <c r="F27" t="s">
        <v>12</v>
      </c>
      <c r="G27" t="s">
        <v>13</v>
      </c>
      <c r="H27" t="s">
        <v>24</v>
      </c>
      <c r="I27" t="s">
        <v>226</v>
      </c>
      <c r="J27" t="s">
        <v>11</v>
      </c>
    </row>
    <row r="28" spans="1:10" x14ac:dyDescent="0.35">
      <c r="A28" t="s">
        <v>53</v>
      </c>
      <c r="B28" t="s">
        <v>26</v>
      </c>
      <c r="C28" t="s">
        <v>27</v>
      </c>
      <c r="D28" s="1">
        <v>45134</v>
      </c>
      <c r="E28" t="s">
        <v>20</v>
      </c>
      <c r="F28" t="s">
        <v>12</v>
      </c>
      <c r="G28" t="s">
        <v>22</v>
      </c>
      <c r="H28" t="s">
        <v>24</v>
      </c>
      <c r="I28" t="s">
        <v>20</v>
      </c>
      <c r="J28" t="s">
        <v>20</v>
      </c>
    </row>
    <row r="29" spans="1:10" x14ac:dyDescent="0.35">
      <c r="A29" t="s">
        <v>54</v>
      </c>
      <c r="B29" t="s">
        <v>9</v>
      </c>
      <c r="C29" t="s">
        <v>27</v>
      </c>
      <c r="D29" s="1">
        <v>45135</v>
      </c>
      <c r="E29" t="s">
        <v>17</v>
      </c>
      <c r="F29" t="s">
        <v>21</v>
      </c>
      <c r="G29" t="s">
        <v>13</v>
      </c>
      <c r="H29" t="s">
        <v>14</v>
      </c>
      <c r="I29" t="s">
        <v>226</v>
      </c>
      <c r="J29" t="s">
        <v>17</v>
      </c>
    </row>
    <row r="30" spans="1:10" x14ac:dyDescent="0.35">
      <c r="A30" t="s">
        <v>55</v>
      </c>
      <c r="B30" t="s">
        <v>9</v>
      </c>
      <c r="C30" t="s">
        <v>16</v>
      </c>
      <c r="D30" s="1">
        <v>45136</v>
      </c>
      <c r="E30" t="s">
        <v>17</v>
      </c>
      <c r="F30" t="s">
        <v>21</v>
      </c>
      <c r="G30" t="s">
        <v>22</v>
      </c>
      <c r="H30" t="s">
        <v>24</v>
      </c>
      <c r="I30" t="s">
        <v>226</v>
      </c>
      <c r="J30" t="s">
        <v>17</v>
      </c>
    </row>
    <row r="31" spans="1:10" x14ac:dyDescent="0.35">
      <c r="A31" t="s">
        <v>56</v>
      </c>
      <c r="B31" t="s">
        <v>26</v>
      </c>
      <c r="C31" t="s">
        <v>29</v>
      </c>
      <c r="D31" s="1">
        <v>45137</v>
      </c>
      <c r="E31" t="s">
        <v>20</v>
      </c>
      <c r="F31" t="s">
        <v>12</v>
      </c>
      <c r="G31" t="s">
        <v>22</v>
      </c>
      <c r="H31" t="s">
        <v>14</v>
      </c>
      <c r="I31" t="s">
        <v>20</v>
      </c>
      <c r="J31" t="s">
        <v>20</v>
      </c>
    </row>
    <row r="32" spans="1:10" x14ac:dyDescent="0.35">
      <c r="A32" t="s">
        <v>57</v>
      </c>
      <c r="B32" t="s">
        <v>26</v>
      </c>
      <c r="C32" t="s">
        <v>10</v>
      </c>
      <c r="D32" s="1">
        <v>45138</v>
      </c>
      <c r="E32" t="s">
        <v>20</v>
      </c>
      <c r="F32" t="s">
        <v>12</v>
      </c>
      <c r="G32" t="s">
        <v>22</v>
      </c>
      <c r="H32" t="s">
        <v>24</v>
      </c>
      <c r="I32" t="s">
        <v>20</v>
      </c>
      <c r="J32" t="s">
        <v>20</v>
      </c>
    </row>
    <row r="33" spans="1:10" x14ac:dyDescent="0.35">
      <c r="A33" t="s">
        <v>58</v>
      </c>
      <c r="B33" t="s">
        <v>9</v>
      </c>
      <c r="C33" t="s">
        <v>27</v>
      </c>
      <c r="D33" s="1">
        <v>45108</v>
      </c>
      <c r="E33" t="s">
        <v>17</v>
      </c>
      <c r="F33" t="s">
        <v>12</v>
      </c>
      <c r="G33" t="s">
        <v>22</v>
      </c>
      <c r="H33" t="s">
        <v>24</v>
      </c>
      <c r="I33" t="s">
        <v>226</v>
      </c>
      <c r="J33" t="s">
        <v>17</v>
      </c>
    </row>
    <row r="34" spans="1:10" x14ac:dyDescent="0.35">
      <c r="A34" t="s">
        <v>59</v>
      </c>
      <c r="B34" t="s">
        <v>9</v>
      </c>
      <c r="C34" t="s">
        <v>49</v>
      </c>
      <c r="D34" s="1">
        <v>45109</v>
      </c>
      <c r="E34" t="s">
        <v>32</v>
      </c>
      <c r="F34" t="s">
        <v>21</v>
      </c>
      <c r="G34" t="s">
        <v>22</v>
      </c>
      <c r="H34" t="s">
        <v>14</v>
      </c>
      <c r="I34" t="s">
        <v>226</v>
      </c>
      <c r="J34" t="s">
        <v>32</v>
      </c>
    </row>
    <row r="35" spans="1:10" x14ac:dyDescent="0.35">
      <c r="A35" t="s">
        <v>60</v>
      </c>
      <c r="B35" t="s">
        <v>9</v>
      </c>
      <c r="C35" t="s">
        <v>29</v>
      </c>
      <c r="D35" s="1">
        <v>45110</v>
      </c>
      <c r="E35" t="s">
        <v>17</v>
      </c>
      <c r="F35" t="s">
        <v>12</v>
      </c>
      <c r="G35" t="s">
        <v>13</v>
      </c>
      <c r="H35" t="s">
        <v>14</v>
      </c>
      <c r="I35" t="s">
        <v>226</v>
      </c>
      <c r="J35" t="s">
        <v>17</v>
      </c>
    </row>
    <row r="36" spans="1:10" x14ac:dyDescent="0.35">
      <c r="A36" t="s">
        <v>61</v>
      </c>
      <c r="B36" t="s">
        <v>9</v>
      </c>
      <c r="C36" t="s">
        <v>27</v>
      </c>
      <c r="D36" s="1">
        <v>45111</v>
      </c>
      <c r="E36" t="s">
        <v>17</v>
      </c>
      <c r="F36" t="s">
        <v>12</v>
      </c>
      <c r="G36" t="s">
        <v>13</v>
      </c>
      <c r="H36" t="s">
        <v>14</v>
      </c>
      <c r="I36" t="s">
        <v>226</v>
      </c>
      <c r="J36" t="s">
        <v>17</v>
      </c>
    </row>
    <row r="37" spans="1:10" x14ac:dyDescent="0.35">
      <c r="A37" t="s">
        <v>62</v>
      </c>
      <c r="B37" t="s">
        <v>26</v>
      </c>
      <c r="C37" t="s">
        <v>37</v>
      </c>
      <c r="D37" s="1">
        <v>45112</v>
      </c>
      <c r="E37" t="s">
        <v>20</v>
      </c>
      <c r="F37" t="s">
        <v>12</v>
      </c>
      <c r="G37" t="s">
        <v>22</v>
      </c>
      <c r="H37" t="s">
        <v>14</v>
      </c>
      <c r="I37" t="s">
        <v>20</v>
      </c>
      <c r="J37" t="s">
        <v>20</v>
      </c>
    </row>
    <row r="38" spans="1:10" x14ac:dyDescent="0.35">
      <c r="A38" t="s">
        <v>63</v>
      </c>
      <c r="B38" t="s">
        <v>26</v>
      </c>
      <c r="C38" t="s">
        <v>16</v>
      </c>
      <c r="D38" s="1">
        <v>45113</v>
      </c>
      <c r="E38" t="s">
        <v>20</v>
      </c>
      <c r="F38" t="s">
        <v>21</v>
      </c>
      <c r="G38" t="s">
        <v>22</v>
      </c>
      <c r="H38" t="s">
        <v>14</v>
      </c>
      <c r="I38" t="s">
        <v>20</v>
      </c>
      <c r="J38" t="s">
        <v>20</v>
      </c>
    </row>
    <row r="39" spans="1:10" x14ac:dyDescent="0.35">
      <c r="A39" t="s">
        <v>64</v>
      </c>
      <c r="B39" t="s">
        <v>9</v>
      </c>
      <c r="C39" t="s">
        <v>49</v>
      </c>
      <c r="D39" s="1">
        <v>45114</v>
      </c>
      <c r="E39" t="s">
        <v>17</v>
      </c>
      <c r="F39" t="s">
        <v>21</v>
      </c>
      <c r="G39" t="s">
        <v>13</v>
      </c>
      <c r="H39" t="s">
        <v>24</v>
      </c>
      <c r="I39" t="s">
        <v>226</v>
      </c>
      <c r="J39" t="s">
        <v>17</v>
      </c>
    </row>
    <row r="40" spans="1:10" x14ac:dyDescent="0.35">
      <c r="A40" t="s">
        <v>65</v>
      </c>
      <c r="B40" t="s">
        <v>9</v>
      </c>
      <c r="C40" t="s">
        <v>37</v>
      </c>
      <c r="D40" s="1">
        <v>45115</v>
      </c>
      <c r="E40" t="s">
        <v>17</v>
      </c>
      <c r="F40" t="s">
        <v>12</v>
      </c>
      <c r="G40" t="s">
        <v>22</v>
      </c>
      <c r="H40" t="s">
        <v>24</v>
      </c>
      <c r="I40" t="s">
        <v>226</v>
      </c>
      <c r="J40" t="s">
        <v>17</v>
      </c>
    </row>
    <row r="41" spans="1:10" x14ac:dyDescent="0.35">
      <c r="A41" t="s">
        <v>66</v>
      </c>
      <c r="B41" t="s">
        <v>9</v>
      </c>
      <c r="C41" t="s">
        <v>49</v>
      </c>
      <c r="D41" s="1">
        <v>45116</v>
      </c>
      <c r="E41" t="s">
        <v>17</v>
      </c>
      <c r="F41" t="s">
        <v>12</v>
      </c>
      <c r="G41" t="s">
        <v>22</v>
      </c>
      <c r="H41" t="s">
        <v>24</v>
      </c>
      <c r="I41" t="s">
        <v>226</v>
      </c>
      <c r="J41" t="s">
        <v>17</v>
      </c>
    </row>
    <row r="42" spans="1:10" x14ac:dyDescent="0.35">
      <c r="A42" t="s">
        <v>67</v>
      </c>
      <c r="B42" t="s">
        <v>26</v>
      </c>
      <c r="C42" t="s">
        <v>16</v>
      </c>
      <c r="D42" s="1">
        <v>45117</v>
      </c>
      <c r="E42" t="s">
        <v>20</v>
      </c>
      <c r="F42" t="s">
        <v>12</v>
      </c>
      <c r="G42" t="s">
        <v>13</v>
      </c>
      <c r="H42" t="s">
        <v>14</v>
      </c>
      <c r="I42" t="s">
        <v>20</v>
      </c>
      <c r="J42" t="s">
        <v>20</v>
      </c>
    </row>
    <row r="43" spans="1:10" x14ac:dyDescent="0.35">
      <c r="A43" t="s">
        <v>68</v>
      </c>
      <c r="B43" t="s">
        <v>26</v>
      </c>
      <c r="C43" t="s">
        <v>16</v>
      </c>
      <c r="D43" s="1">
        <v>45118</v>
      </c>
      <c r="E43" t="s">
        <v>20</v>
      </c>
      <c r="F43" t="s">
        <v>12</v>
      </c>
      <c r="G43" t="s">
        <v>22</v>
      </c>
      <c r="H43" t="s">
        <v>24</v>
      </c>
      <c r="I43" t="s">
        <v>20</v>
      </c>
      <c r="J43" t="s">
        <v>20</v>
      </c>
    </row>
    <row r="44" spans="1:10" x14ac:dyDescent="0.35">
      <c r="A44" t="s">
        <v>69</v>
      </c>
      <c r="B44" t="s">
        <v>9</v>
      </c>
      <c r="C44" t="s">
        <v>29</v>
      </c>
      <c r="D44" s="1">
        <v>45119</v>
      </c>
      <c r="E44" t="s">
        <v>20</v>
      </c>
      <c r="F44" t="s">
        <v>12</v>
      </c>
      <c r="G44" t="s">
        <v>22</v>
      </c>
      <c r="H44" t="s">
        <v>14</v>
      </c>
      <c r="I44" t="s">
        <v>20</v>
      </c>
      <c r="J44" t="s">
        <v>20</v>
      </c>
    </row>
    <row r="45" spans="1:10" x14ac:dyDescent="0.35">
      <c r="A45" t="s">
        <v>70</v>
      </c>
      <c r="B45" t="s">
        <v>9</v>
      </c>
      <c r="C45" t="s">
        <v>49</v>
      </c>
      <c r="D45" s="1">
        <v>45120</v>
      </c>
      <c r="E45" t="s">
        <v>32</v>
      </c>
      <c r="F45" t="s">
        <v>12</v>
      </c>
      <c r="G45" t="s">
        <v>18</v>
      </c>
      <c r="H45" t="s">
        <v>14</v>
      </c>
      <c r="I45" t="s">
        <v>226</v>
      </c>
      <c r="J45" t="s">
        <v>32</v>
      </c>
    </row>
    <row r="46" spans="1:10" x14ac:dyDescent="0.35">
      <c r="A46" t="s">
        <v>71</v>
      </c>
      <c r="B46" t="s">
        <v>26</v>
      </c>
      <c r="C46" t="s">
        <v>29</v>
      </c>
      <c r="D46" s="1">
        <v>45121</v>
      </c>
      <c r="E46" t="s">
        <v>11</v>
      </c>
      <c r="F46" t="s">
        <v>21</v>
      </c>
      <c r="G46" t="s">
        <v>18</v>
      </c>
      <c r="H46" t="s">
        <v>24</v>
      </c>
      <c r="I46" t="s">
        <v>226</v>
      </c>
      <c r="J46" t="s">
        <v>11</v>
      </c>
    </row>
    <row r="47" spans="1:10" x14ac:dyDescent="0.35">
      <c r="A47" t="s">
        <v>72</v>
      </c>
      <c r="B47" t="s">
        <v>26</v>
      </c>
      <c r="C47" t="s">
        <v>29</v>
      </c>
      <c r="D47" s="1">
        <v>45122</v>
      </c>
      <c r="E47" t="s">
        <v>20</v>
      </c>
      <c r="F47" t="s">
        <v>21</v>
      </c>
      <c r="G47" t="s">
        <v>22</v>
      </c>
      <c r="H47" t="s">
        <v>14</v>
      </c>
      <c r="I47" t="s">
        <v>20</v>
      </c>
      <c r="J47" t="s">
        <v>20</v>
      </c>
    </row>
    <row r="48" spans="1:10" x14ac:dyDescent="0.35">
      <c r="A48" t="s">
        <v>73</v>
      </c>
      <c r="B48" t="s">
        <v>26</v>
      </c>
      <c r="C48" t="s">
        <v>37</v>
      </c>
      <c r="D48" s="1">
        <v>45123</v>
      </c>
      <c r="E48" t="s">
        <v>20</v>
      </c>
      <c r="F48" t="s">
        <v>12</v>
      </c>
      <c r="G48" t="s">
        <v>22</v>
      </c>
      <c r="H48" t="s">
        <v>14</v>
      </c>
      <c r="I48" t="s">
        <v>20</v>
      </c>
      <c r="J48" t="s">
        <v>20</v>
      </c>
    </row>
    <row r="49" spans="1:10" x14ac:dyDescent="0.35">
      <c r="A49" t="s">
        <v>74</v>
      </c>
      <c r="B49" t="s">
        <v>9</v>
      </c>
      <c r="C49" t="s">
        <v>16</v>
      </c>
      <c r="D49" s="1">
        <v>45124</v>
      </c>
      <c r="E49" t="s">
        <v>11</v>
      </c>
      <c r="F49" t="s">
        <v>12</v>
      </c>
      <c r="G49" t="s">
        <v>13</v>
      </c>
      <c r="H49" t="s">
        <v>14</v>
      </c>
      <c r="I49" t="s">
        <v>226</v>
      </c>
      <c r="J49" t="s">
        <v>11</v>
      </c>
    </row>
    <row r="50" spans="1:10" x14ac:dyDescent="0.35">
      <c r="A50" t="s">
        <v>75</v>
      </c>
      <c r="B50" t="s">
        <v>9</v>
      </c>
      <c r="C50" t="s">
        <v>16</v>
      </c>
      <c r="D50" s="1">
        <v>45125</v>
      </c>
      <c r="E50" t="s">
        <v>32</v>
      </c>
      <c r="F50" t="s">
        <v>21</v>
      </c>
      <c r="G50" t="s">
        <v>13</v>
      </c>
      <c r="H50" t="s">
        <v>14</v>
      </c>
      <c r="I50" t="s">
        <v>226</v>
      </c>
      <c r="J50" t="s">
        <v>32</v>
      </c>
    </row>
    <row r="51" spans="1:10" x14ac:dyDescent="0.35">
      <c r="A51" t="s">
        <v>76</v>
      </c>
      <c r="B51" t="s">
        <v>9</v>
      </c>
      <c r="C51" t="s">
        <v>16</v>
      </c>
      <c r="D51" s="1">
        <v>45126</v>
      </c>
      <c r="E51" t="s">
        <v>11</v>
      </c>
      <c r="F51" t="s">
        <v>12</v>
      </c>
      <c r="G51" t="s">
        <v>18</v>
      </c>
      <c r="H51" t="s">
        <v>24</v>
      </c>
      <c r="I51" t="s">
        <v>226</v>
      </c>
      <c r="J51" t="s">
        <v>11</v>
      </c>
    </row>
    <row r="52" spans="1:10" x14ac:dyDescent="0.35">
      <c r="A52" t="s">
        <v>77</v>
      </c>
      <c r="B52" t="s">
        <v>9</v>
      </c>
      <c r="C52" t="s">
        <v>16</v>
      </c>
      <c r="D52" s="1">
        <v>45127</v>
      </c>
      <c r="E52" t="s">
        <v>11</v>
      </c>
      <c r="F52" t="s">
        <v>21</v>
      </c>
      <c r="G52" t="s">
        <v>13</v>
      </c>
      <c r="H52" t="s">
        <v>24</v>
      </c>
      <c r="I52" t="s">
        <v>226</v>
      </c>
      <c r="J52" t="s">
        <v>11</v>
      </c>
    </row>
    <row r="53" spans="1:10" x14ac:dyDescent="0.35">
      <c r="A53" t="s">
        <v>78</v>
      </c>
      <c r="B53" t="s">
        <v>26</v>
      </c>
      <c r="C53" t="s">
        <v>29</v>
      </c>
      <c r="D53" s="1">
        <v>45128</v>
      </c>
      <c r="E53" t="s">
        <v>20</v>
      </c>
      <c r="F53" t="s">
        <v>12</v>
      </c>
      <c r="G53" t="s">
        <v>22</v>
      </c>
      <c r="H53" t="s">
        <v>14</v>
      </c>
      <c r="I53" t="s">
        <v>20</v>
      </c>
      <c r="J53" t="s">
        <v>20</v>
      </c>
    </row>
    <row r="54" spans="1:10" x14ac:dyDescent="0.35">
      <c r="A54" t="s">
        <v>79</v>
      </c>
      <c r="B54" t="s">
        <v>9</v>
      </c>
      <c r="C54" t="s">
        <v>16</v>
      </c>
      <c r="D54" s="1">
        <v>45129</v>
      </c>
      <c r="E54" t="s">
        <v>32</v>
      </c>
      <c r="F54" t="s">
        <v>12</v>
      </c>
      <c r="G54" t="s">
        <v>22</v>
      </c>
      <c r="H54" t="s">
        <v>24</v>
      </c>
      <c r="I54" t="s">
        <v>226</v>
      </c>
      <c r="J54" t="s">
        <v>32</v>
      </c>
    </row>
    <row r="55" spans="1:10" x14ac:dyDescent="0.35">
      <c r="A55" t="s">
        <v>80</v>
      </c>
      <c r="B55" t="s">
        <v>26</v>
      </c>
      <c r="C55" t="s">
        <v>16</v>
      </c>
      <c r="D55" s="1">
        <v>45130</v>
      </c>
      <c r="E55" t="s">
        <v>17</v>
      </c>
      <c r="F55" t="s">
        <v>12</v>
      </c>
      <c r="G55" t="s">
        <v>18</v>
      </c>
      <c r="H55" t="s">
        <v>24</v>
      </c>
      <c r="I55" t="s">
        <v>226</v>
      </c>
      <c r="J55" t="s">
        <v>17</v>
      </c>
    </row>
    <row r="56" spans="1:10" x14ac:dyDescent="0.35">
      <c r="A56" t="s">
        <v>81</v>
      </c>
      <c r="B56" t="s">
        <v>9</v>
      </c>
      <c r="C56" t="s">
        <v>16</v>
      </c>
      <c r="D56" s="1">
        <v>45131</v>
      </c>
      <c r="E56" t="s">
        <v>11</v>
      </c>
      <c r="F56" t="s">
        <v>12</v>
      </c>
      <c r="G56" t="s">
        <v>22</v>
      </c>
      <c r="H56" t="s">
        <v>14</v>
      </c>
      <c r="I56" t="s">
        <v>226</v>
      </c>
      <c r="J56" t="s">
        <v>11</v>
      </c>
    </row>
    <row r="57" spans="1:10" x14ac:dyDescent="0.35">
      <c r="A57" t="s">
        <v>82</v>
      </c>
      <c r="B57" t="s">
        <v>9</v>
      </c>
      <c r="C57" t="s">
        <v>49</v>
      </c>
      <c r="D57" s="1">
        <v>45132</v>
      </c>
      <c r="E57" t="s">
        <v>32</v>
      </c>
      <c r="F57" t="s">
        <v>12</v>
      </c>
      <c r="G57" t="s">
        <v>22</v>
      </c>
      <c r="H57" t="s">
        <v>24</v>
      </c>
      <c r="I57" t="s">
        <v>226</v>
      </c>
      <c r="J57" t="s">
        <v>32</v>
      </c>
    </row>
    <row r="58" spans="1:10" x14ac:dyDescent="0.35">
      <c r="A58" t="s">
        <v>83</v>
      </c>
      <c r="B58" t="s">
        <v>26</v>
      </c>
      <c r="C58" t="s">
        <v>37</v>
      </c>
      <c r="D58" s="1">
        <v>45133</v>
      </c>
      <c r="E58" t="s">
        <v>11</v>
      </c>
      <c r="F58" t="s">
        <v>12</v>
      </c>
      <c r="G58" t="s">
        <v>18</v>
      </c>
      <c r="H58" t="s">
        <v>24</v>
      </c>
      <c r="I58" t="s">
        <v>226</v>
      </c>
      <c r="J58" t="s">
        <v>11</v>
      </c>
    </row>
    <row r="59" spans="1:10" x14ac:dyDescent="0.35">
      <c r="A59" t="s">
        <v>84</v>
      </c>
      <c r="B59" t="s">
        <v>9</v>
      </c>
      <c r="C59" t="s">
        <v>10</v>
      </c>
      <c r="D59" s="1">
        <v>45134</v>
      </c>
      <c r="E59" t="s">
        <v>11</v>
      </c>
      <c r="F59" t="s">
        <v>12</v>
      </c>
      <c r="G59" t="s">
        <v>13</v>
      </c>
      <c r="H59" t="s">
        <v>14</v>
      </c>
      <c r="I59" t="s">
        <v>226</v>
      </c>
      <c r="J59" t="s">
        <v>11</v>
      </c>
    </row>
    <row r="60" spans="1:10" x14ac:dyDescent="0.35">
      <c r="A60" t="s">
        <v>85</v>
      </c>
      <c r="B60" t="s">
        <v>26</v>
      </c>
      <c r="C60" t="s">
        <v>37</v>
      </c>
      <c r="D60" s="1">
        <v>45135</v>
      </c>
      <c r="E60" t="s">
        <v>20</v>
      </c>
      <c r="F60" t="s">
        <v>12</v>
      </c>
      <c r="G60" t="s">
        <v>13</v>
      </c>
      <c r="H60" t="s">
        <v>14</v>
      </c>
      <c r="I60" t="s">
        <v>20</v>
      </c>
      <c r="J60" t="s">
        <v>20</v>
      </c>
    </row>
    <row r="61" spans="1:10" x14ac:dyDescent="0.35">
      <c r="A61" t="s">
        <v>86</v>
      </c>
      <c r="B61" t="s">
        <v>26</v>
      </c>
      <c r="C61" t="s">
        <v>29</v>
      </c>
      <c r="D61" s="1">
        <v>45136</v>
      </c>
      <c r="E61" t="s">
        <v>11</v>
      </c>
      <c r="F61" t="s">
        <v>21</v>
      </c>
      <c r="G61" t="s">
        <v>18</v>
      </c>
      <c r="H61" t="s">
        <v>24</v>
      </c>
      <c r="I61" t="s">
        <v>226</v>
      </c>
      <c r="J61" t="s">
        <v>11</v>
      </c>
    </row>
    <row r="62" spans="1:10" x14ac:dyDescent="0.35">
      <c r="A62" t="s">
        <v>87</v>
      </c>
      <c r="B62" t="s">
        <v>26</v>
      </c>
      <c r="C62" t="s">
        <v>27</v>
      </c>
      <c r="D62" s="1">
        <v>45137</v>
      </c>
      <c r="E62" t="s">
        <v>20</v>
      </c>
      <c r="F62" t="s">
        <v>12</v>
      </c>
      <c r="G62" t="s">
        <v>22</v>
      </c>
      <c r="H62" t="s">
        <v>24</v>
      </c>
      <c r="I62" t="s">
        <v>20</v>
      </c>
      <c r="J62" t="s">
        <v>20</v>
      </c>
    </row>
    <row r="63" spans="1:10" x14ac:dyDescent="0.35">
      <c r="A63" t="s">
        <v>88</v>
      </c>
      <c r="B63" t="s">
        <v>26</v>
      </c>
      <c r="C63" t="s">
        <v>27</v>
      </c>
      <c r="D63" s="1">
        <v>45138</v>
      </c>
      <c r="E63" t="s">
        <v>20</v>
      </c>
      <c r="F63" t="s">
        <v>12</v>
      </c>
      <c r="G63" t="s">
        <v>22</v>
      </c>
      <c r="H63" t="s">
        <v>24</v>
      </c>
      <c r="I63" t="s">
        <v>20</v>
      </c>
      <c r="J63" t="s">
        <v>20</v>
      </c>
    </row>
    <row r="64" spans="1:10" x14ac:dyDescent="0.35">
      <c r="A64" t="s">
        <v>89</v>
      </c>
      <c r="B64" t="s">
        <v>9</v>
      </c>
      <c r="C64" t="s">
        <v>10</v>
      </c>
      <c r="D64" s="1">
        <v>45108</v>
      </c>
      <c r="E64" t="s">
        <v>20</v>
      </c>
      <c r="F64" t="s">
        <v>12</v>
      </c>
      <c r="G64" t="s">
        <v>22</v>
      </c>
      <c r="H64" t="s">
        <v>14</v>
      </c>
      <c r="I64" t="s">
        <v>20</v>
      </c>
      <c r="J64" t="s">
        <v>20</v>
      </c>
    </row>
    <row r="65" spans="1:10" x14ac:dyDescent="0.35">
      <c r="A65" t="s">
        <v>90</v>
      </c>
      <c r="B65" t="s">
        <v>26</v>
      </c>
      <c r="C65" t="s">
        <v>27</v>
      </c>
      <c r="D65" s="1">
        <v>45109</v>
      </c>
      <c r="E65" t="s">
        <v>11</v>
      </c>
      <c r="F65" t="s">
        <v>12</v>
      </c>
      <c r="G65" t="s">
        <v>18</v>
      </c>
      <c r="H65" t="s">
        <v>24</v>
      </c>
      <c r="I65" t="s">
        <v>226</v>
      </c>
      <c r="J65" t="s">
        <v>11</v>
      </c>
    </row>
    <row r="66" spans="1:10" x14ac:dyDescent="0.35">
      <c r="A66" t="s">
        <v>91</v>
      </c>
      <c r="B66" t="s">
        <v>9</v>
      </c>
      <c r="C66" t="s">
        <v>49</v>
      </c>
      <c r="D66" s="1">
        <v>45110</v>
      </c>
      <c r="E66" t="s">
        <v>17</v>
      </c>
      <c r="F66" t="s">
        <v>21</v>
      </c>
      <c r="G66" t="s">
        <v>13</v>
      </c>
      <c r="H66" t="s">
        <v>24</v>
      </c>
      <c r="I66" t="s">
        <v>226</v>
      </c>
      <c r="J66" t="s">
        <v>17</v>
      </c>
    </row>
    <row r="67" spans="1:10" x14ac:dyDescent="0.35">
      <c r="A67" t="s">
        <v>92</v>
      </c>
      <c r="B67" t="s">
        <v>26</v>
      </c>
      <c r="C67" t="s">
        <v>16</v>
      </c>
      <c r="D67" s="1">
        <v>45111</v>
      </c>
      <c r="E67" t="s">
        <v>20</v>
      </c>
      <c r="F67" t="s">
        <v>12</v>
      </c>
      <c r="G67" t="s">
        <v>13</v>
      </c>
      <c r="H67" t="s">
        <v>14</v>
      </c>
      <c r="I67" t="s">
        <v>20</v>
      </c>
      <c r="J67" t="s">
        <v>20</v>
      </c>
    </row>
    <row r="68" spans="1:10" x14ac:dyDescent="0.35">
      <c r="A68" t="s">
        <v>93</v>
      </c>
      <c r="B68" t="s">
        <v>26</v>
      </c>
      <c r="C68" t="s">
        <v>49</v>
      </c>
      <c r="D68" s="1">
        <v>45112</v>
      </c>
      <c r="E68" t="s">
        <v>20</v>
      </c>
      <c r="F68" t="s">
        <v>21</v>
      </c>
      <c r="G68" t="s">
        <v>22</v>
      </c>
      <c r="H68" t="s">
        <v>14</v>
      </c>
      <c r="I68" t="s">
        <v>20</v>
      </c>
      <c r="J68" t="s">
        <v>20</v>
      </c>
    </row>
    <row r="69" spans="1:10" x14ac:dyDescent="0.35">
      <c r="A69" t="s">
        <v>94</v>
      </c>
      <c r="B69" t="s">
        <v>26</v>
      </c>
      <c r="C69" t="s">
        <v>37</v>
      </c>
      <c r="D69" s="1">
        <v>45113</v>
      </c>
      <c r="E69" t="s">
        <v>20</v>
      </c>
      <c r="F69" t="s">
        <v>12</v>
      </c>
      <c r="G69" t="s">
        <v>22</v>
      </c>
      <c r="H69" t="s">
        <v>14</v>
      </c>
      <c r="I69" t="s">
        <v>20</v>
      </c>
      <c r="J69" t="s">
        <v>20</v>
      </c>
    </row>
    <row r="70" spans="1:10" x14ac:dyDescent="0.35">
      <c r="A70" t="s">
        <v>95</v>
      </c>
      <c r="B70" t="s">
        <v>9</v>
      </c>
      <c r="C70" t="s">
        <v>29</v>
      </c>
      <c r="D70" s="1">
        <v>45114</v>
      </c>
      <c r="E70" t="s">
        <v>20</v>
      </c>
      <c r="F70" t="s">
        <v>12</v>
      </c>
      <c r="G70" t="s">
        <v>22</v>
      </c>
      <c r="H70" t="s">
        <v>14</v>
      </c>
      <c r="I70" t="s">
        <v>20</v>
      </c>
      <c r="J70" t="s">
        <v>20</v>
      </c>
    </row>
    <row r="71" spans="1:10" x14ac:dyDescent="0.35">
      <c r="A71" t="s">
        <v>96</v>
      </c>
      <c r="B71" t="s">
        <v>26</v>
      </c>
      <c r="C71" t="s">
        <v>10</v>
      </c>
      <c r="D71" s="1">
        <v>45115</v>
      </c>
      <c r="E71" t="s">
        <v>20</v>
      </c>
      <c r="F71" t="s">
        <v>12</v>
      </c>
      <c r="G71" t="s">
        <v>22</v>
      </c>
      <c r="H71" t="s">
        <v>14</v>
      </c>
      <c r="I71" t="s">
        <v>20</v>
      </c>
      <c r="J71" t="s">
        <v>20</v>
      </c>
    </row>
    <row r="72" spans="1:10" x14ac:dyDescent="0.35">
      <c r="A72" t="s">
        <v>97</v>
      </c>
      <c r="B72" t="s">
        <v>26</v>
      </c>
      <c r="C72" t="s">
        <v>27</v>
      </c>
      <c r="D72" s="1">
        <v>45116</v>
      </c>
      <c r="E72" t="s">
        <v>11</v>
      </c>
      <c r="F72" t="s">
        <v>12</v>
      </c>
      <c r="G72" t="s">
        <v>18</v>
      </c>
      <c r="H72" t="s">
        <v>24</v>
      </c>
      <c r="I72" t="s">
        <v>226</v>
      </c>
      <c r="J72" t="s">
        <v>11</v>
      </c>
    </row>
    <row r="73" spans="1:10" x14ac:dyDescent="0.35">
      <c r="A73" t="s">
        <v>98</v>
      </c>
      <c r="B73" t="s">
        <v>9</v>
      </c>
      <c r="C73" t="s">
        <v>27</v>
      </c>
      <c r="D73" s="1">
        <v>45117</v>
      </c>
      <c r="E73" t="s">
        <v>17</v>
      </c>
      <c r="F73" t="s">
        <v>21</v>
      </c>
      <c r="G73" t="s">
        <v>13</v>
      </c>
      <c r="H73" t="s">
        <v>24</v>
      </c>
      <c r="I73" t="s">
        <v>226</v>
      </c>
      <c r="J73" t="s">
        <v>17</v>
      </c>
    </row>
    <row r="74" spans="1:10" x14ac:dyDescent="0.35">
      <c r="A74" t="s">
        <v>99</v>
      </c>
      <c r="B74" t="s">
        <v>9</v>
      </c>
      <c r="C74" t="s">
        <v>37</v>
      </c>
      <c r="D74" s="1">
        <v>45118</v>
      </c>
      <c r="E74" t="s">
        <v>11</v>
      </c>
      <c r="F74" t="s">
        <v>21</v>
      </c>
      <c r="G74" t="s">
        <v>13</v>
      </c>
      <c r="H74" t="s">
        <v>14</v>
      </c>
      <c r="I74" t="s">
        <v>226</v>
      </c>
      <c r="J74" t="s">
        <v>11</v>
      </c>
    </row>
    <row r="75" spans="1:10" x14ac:dyDescent="0.35">
      <c r="A75" t="s">
        <v>100</v>
      </c>
      <c r="B75" t="s">
        <v>26</v>
      </c>
      <c r="C75" t="s">
        <v>16</v>
      </c>
      <c r="D75" s="1">
        <v>45119</v>
      </c>
      <c r="E75" t="s">
        <v>20</v>
      </c>
      <c r="F75" t="s">
        <v>12</v>
      </c>
      <c r="G75" t="s">
        <v>22</v>
      </c>
      <c r="H75" t="s">
        <v>14</v>
      </c>
      <c r="I75" t="s">
        <v>20</v>
      </c>
      <c r="J75" t="s">
        <v>20</v>
      </c>
    </row>
    <row r="76" spans="1:10" x14ac:dyDescent="0.35">
      <c r="A76" t="s">
        <v>101</v>
      </c>
      <c r="B76" t="s">
        <v>26</v>
      </c>
      <c r="C76" t="s">
        <v>49</v>
      </c>
      <c r="D76" s="1">
        <v>45120</v>
      </c>
      <c r="E76" t="s">
        <v>32</v>
      </c>
      <c r="F76" t="s">
        <v>12</v>
      </c>
      <c r="G76" t="s">
        <v>13</v>
      </c>
      <c r="H76" t="s">
        <v>24</v>
      </c>
      <c r="I76" t="s">
        <v>226</v>
      </c>
      <c r="J76" t="s">
        <v>32</v>
      </c>
    </row>
    <row r="77" spans="1:10" x14ac:dyDescent="0.35">
      <c r="A77" t="s">
        <v>102</v>
      </c>
      <c r="B77" t="s">
        <v>9</v>
      </c>
      <c r="C77" t="s">
        <v>37</v>
      </c>
      <c r="D77" s="1">
        <v>45121</v>
      </c>
      <c r="E77" t="s">
        <v>20</v>
      </c>
      <c r="F77" t="s">
        <v>21</v>
      </c>
      <c r="G77" t="s">
        <v>22</v>
      </c>
      <c r="H77" t="s">
        <v>14</v>
      </c>
      <c r="I77" t="s">
        <v>20</v>
      </c>
      <c r="J77" t="s">
        <v>20</v>
      </c>
    </row>
    <row r="78" spans="1:10" x14ac:dyDescent="0.35">
      <c r="A78" t="s">
        <v>103</v>
      </c>
      <c r="B78" t="s">
        <v>9</v>
      </c>
      <c r="C78" t="s">
        <v>29</v>
      </c>
      <c r="D78" s="1">
        <v>45122</v>
      </c>
      <c r="E78" t="s">
        <v>17</v>
      </c>
      <c r="F78" t="s">
        <v>12</v>
      </c>
      <c r="G78" t="s">
        <v>18</v>
      </c>
      <c r="H78" t="s">
        <v>24</v>
      </c>
      <c r="I78" t="s">
        <v>226</v>
      </c>
      <c r="J78" t="s">
        <v>17</v>
      </c>
    </row>
    <row r="79" spans="1:10" x14ac:dyDescent="0.35">
      <c r="A79" t="s">
        <v>104</v>
      </c>
      <c r="B79" t="s">
        <v>26</v>
      </c>
      <c r="C79" t="s">
        <v>29</v>
      </c>
      <c r="D79" s="1">
        <v>45123</v>
      </c>
      <c r="E79" t="s">
        <v>20</v>
      </c>
      <c r="F79" t="s">
        <v>21</v>
      </c>
      <c r="G79" t="s">
        <v>22</v>
      </c>
      <c r="H79" t="s">
        <v>24</v>
      </c>
      <c r="I79" t="s">
        <v>20</v>
      </c>
      <c r="J79" t="s">
        <v>20</v>
      </c>
    </row>
    <row r="80" spans="1:10" x14ac:dyDescent="0.35">
      <c r="A80" t="s">
        <v>105</v>
      </c>
      <c r="B80" t="s">
        <v>9</v>
      </c>
      <c r="C80" t="s">
        <v>10</v>
      </c>
      <c r="D80" s="1">
        <v>45124</v>
      </c>
      <c r="E80" t="s">
        <v>11</v>
      </c>
      <c r="F80" t="s">
        <v>12</v>
      </c>
      <c r="G80" t="s">
        <v>22</v>
      </c>
      <c r="H80" t="s">
        <v>14</v>
      </c>
      <c r="I80" t="s">
        <v>226</v>
      </c>
      <c r="J80" t="s">
        <v>11</v>
      </c>
    </row>
    <row r="81" spans="1:10" x14ac:dyDescent="0.35">
      <c r="A81" t="s">
        <v>106</v>
      </c>
      <c r="B81" t="s">
        <v>26</v>
      </c>
      <c r="C81" t="s">
        <v>10</v>
      </c>
      <c r="D81" s="1">
        <v>45125</v>
      </c>
      <c r="E81" t="s">
        <v>20</v>
      </c>
      <c r="F81" t="s">
        <v>21</v>
      </c>
      <c r="G81" t="s">
        <v>22</v>
      </c>
      <c r="H81" t="s">
        <v>14</v>
      </c>
      <c r="I81" t="s">
        <v>20</v>
      </c>
      <c r="J81" t="s">
        <v>20</v>
      </c>
    </row>
    <row r="82" spans="1:10" x14ac:dyDescent="0.35">
      <c r="A82" t="s">
        <v>107</v>
      </c>
      <c r="B82" t="s">
        <v>9</v>
      </c>
      <c r="C82" t="s">
        <v>49</v>
      </c>
      <c r="D82" s="1">
        <v>45126</v>
      </c>
      <c r="E82" t="s">
        <v>17</v>
      </c>
      <c r="F82" t="s">
        <v>21</v>
      </c>
      <c r="G82" t="s">
        <v>18</v>
      </c>
      <c r="H82" t="s">
        <v>14</v>
      </c>
      <c r="I82" t="s">
        <v>226</v>
      </c>
      <c r="J82" t="s">
        <v>17</v>
      </c>
    </row>
    <row r="83" spans="1:10" x14ac:dyDescent="0.35">
      <c r="A83" t="s">
        <v>108</v>
      </c>
      <c r="B83" t="s">
        <v>9</v>
      </c>
      <c r="C83" t="s">
        <v>37</v>
      </c>
      <c r="D83" s="1">
        <v>45127</v>
      </c>
      <c r="E83" t="s">
        <v>32</v>
      </c>
      <c r="F83" t="s">
        <v>21</v>
      </c>
      <c r="G83" t="s">
        <v>22</v>
      </c>
      <c r="H83" t="s">
        <v>14</v>
      </c>
      <c r="I83" t="s">
        <v>226</v>
      </c>
      <c r="J83" t="s">
        <v>32</v>
      </c>
    </row>
    <row r="84" spans="1:10" x14ac:dyDescent="0.35">
      <c r="A84" t="s">
        <v>109</v>
      </c>
      <c r="B84" t="s">
        <v>9</v>
      </c>
      <c r="C84" t="s">
        <v>10</v>
      </c>
      <c r="D84" s="1">
        <v>45128</v>
      </c>
      <c r="E84" t="s">
        <v>17</v>
      </c>
      <c r="F84" t="s">
        <v>21</v>
      </c>
      <c r="G84" t="s">
        <v>22</v>
      </c>
      <c r="H84" t="s">
        <v>24</v>
      </c>
      <c r="I84" t="s">
        <v>226</v>
      </c>
      <c r="J84" t="s">
        <v>17</v>
      </c>
    </row>
    <row r="85" spans="1:10" x14ac:dyDescent="0.35">
      <c r="A85" t="s">
        <v>110</v>
      </c>
      <c r="B85" t="s">
        <v>9</v>
      </c>
      <c r="C85" t="s">
        <v>37</v>
      </c>
      <c r="D85" s="1">
        <v>45129</v>
      </c>
      <c r="E85" t="s">
        <v>11</v>
      </c>
      <c r="F85" t="s">
        <v>21</v>
      </c>
      <c r="G85" t="s">
        <v>18</v>
      </c>
      <c r="H85" t="s">
        <v>14</v>
      </c>
      <c r="I85" t="s">
        <v>226</v>
      </c>
      <c r="J85" t="s">
        <v>11</v>
      </c>
    </row>
    <row r="86" spans="1:10" x14ac:dyDescent="0.35">
      <c r="A86" t="s">
        <v>111</v>
      </c>
      <c r="B86" t="s">
        <v>9</v>
      </c>
      <c r="C86" t="s">
        <v>27</v>
      </c>
      <c r="D86" s="1">
        <v>45130</v>
      </c>
      <c r="E86" t="s">
        <v>17</v>
      </c>
      <c r="F86" t="s">
        <v>12</v>
      </c>
      <c r="G86" t="s">
        <v>18</v>
      </c>
      <c r="H86" t="s">
        <v>14</v>
      </c>
      <c r="I86" t="s">
        <v>226</v>
      </c>
      <c r="J86" t="s">
        <v>17</v>
      </c>
    </row>
    <row r="87" spans="1:10" x14ac:dyDescent="0.35">
      <c r="A87" t="s">
        <v>112</v>
      </c>
      <c r="B87" t="s">
        <v>26</v>
      </c>
      <c r="C87" t="s">
        <v>49</v>
      </c>
      <c r="D87" s="1">
        <v>45131</v>
      </c>
      <c r="E87" t="s">
        <v>17</v>
      </c>
      <c r="F87" t="s">
        <v>21</v>
      </c>
      <c r="G87" t="s">
        <v>18</v>
      </c>
      <c r="H87" t="s">
        <v>24</v>
      </c>
      <c r="I87" t="s">
        <v>226</v>
      </c>
      <c r="J87" t="s">
        <v>17</v>
      </c>
    </row>
    <row r="88" spans="1:10" x14ac:dyDescent="0.35">
      <c r="A88" t="s">
        <v>113</v>
      </c>
      <c r="B88" t="s">
        <v>9</v>
      </c>
      <c r="C88" t="s">
        <v>27</v>
      </c>
      <c r="D88" s="1">
        <v>45132</v>
      </c>
      <c r="E88" t="s">
        <v>17</v>
      </c>
      <c r="F88" t="s">
        <v>12</v>
      </c>
      <c r="G88" t="s">
        <v>22</v>
      </c>
      <c r="H88" t="s">
        <v>24</v>
      </c>
      <c r="I88" t="s">
        <v>226</v>
      </c>
      <c r="J88" t="s">
        <v>17</v>
      </c>
    </row>
    <row r="89" spans="1:10" x14ac:dyDescent="0.35">
      <c r="A89" t="s">
        <v>114</v>
      </c>
      <c r="B89" t="s">
        <v>9</v>
      </c>
      <c r="C89" t="s">
        <v>29</v>
      </c>
      <c r="D89" s="1">
        <v>45133</v>
      </c>
      <c r="E89" t="s">
        <v>17</v>
      </c>
      <c r="F89" t="s">
        <v>21</v>
      </c>
      <c r="G89" t="s">
        <v>22</v>
      </c>
      <c r="H89" t="s">
        <v>14</v>
      </c>
      <c r="I89" t="s">
        <v>226</v>
      </c>
      <c r="J89" t="s">
        <v>17</v>
      </c>
    </row>
    <row r="90" spans="1:10" x14ac:dyDescent="0.35">
      <c r="A90" t="s">
        <v>115</v>
      </c>
      <c r="B90" t="s">
        <v>9</v>
      </c>
      <c r="C90" t="s">
        <v>10</v>
      </c>
      <c r="D90" s="1">
        <v>45134</v>
      </c>
      <c r="E90" t="s">
        <v>17</v>
      </c>
      <c r="F90" t="s">
        <v>21</v>
      </c>
      <c r="G90" t="s">
        <v>22</v>
      </c>
      <c r="H90" t="s">
        <v>24</v>
      </c>
      <c r="I90" t="s">
        <v>226</v>
      </c>
      <c r="J90" t="s">
        <v>17</v>
      </c>
    </row>
    <row r="91" spans="1:10" x14ac:dyDescent="0.35">
      <c r="A91" t="s">
        <v>116</v>
      </c>
      <c r="B91" t="s">
        <v>9</v>
      </c>
      <c r="C91" t="s">
        <v>29</v>
      </c>
      <c r="D91" s="1">
        <v>45135</v>
      </c>
      <c r="E91" t="s">
        <v>20</v>
      </c>
      <c r="F91" t="s">
        <v>21</v>
      </c>
      <c r="G91" t="s">
        <v>22</v>
      </c>
      <c r="H91" t="s">
        <v>14</v>
      </c>
      <c r="I91" t="s">
        <v>20</v>
      </c>
      <c r="J91" t="s">
        <v>20</v>
      </c>
    </row>
    <row r="92" spans="1:10" x14ac:dyDescent="0.35">
      <c r="A92" t="s">
        <v>117</v>
      </c>
      <c r="B92" t="s">
        <v>26</v>
      </c>
      <c r="C92" t="s">
        <v>16</v>
      </c>
      <c r="D92" s="1">
        <v>45136</v>
      </c>
      <c r="E92" t="s">
        <v>32</v>
      </c>
      <c r="F92" t="s">
        <v>21</v>
      </c>
      <c r="G92" t="s">
        <v>13</v>
      </c>
      <c r="H92" t="s">
        <v>24</v>
      </c>
      <c r="I92" t="s">
        <v>226</v>
      </c>
      <c r="J92" t="s">
        <v>32</v>
      </c>
    </row>
    <row r="93" spans="1:10" x14ac:dyDescent="0.35">
      <c r="A93" t="s">
        <v>118</v>
      </c>
      <c r="B93" t="s">
        <v>9</v>
      </c>
      <c r="C93" t="s">
        <v>49</v>
      </c>
      <c r="D93" s="1">
        <v>45137</v>
      </c>
      <c r="E93" t="s">
        <v>32</v>
      </c>
      <c r="F93" t="s">
        <v>21</v>
      </c>
      <c r="G93" t="s">
        <v>18</v>
      </c>
      <c r="H93" t="s">
        <v>14</v>
      </c>
      <c r="I93" t="s">
        <v>226</v>
      </c>
      <c r="J93" t="s">
        <v>32</v>
      </c>
    </row>
    <row r="94" spans="1:10" x14ac:dyDescent="0.35">
      <c r="A94" t="s">
        <v>119</v>
      </c>
      <c r="B94" t="s">
        <v>26</v>
      </c>
      <c r="C94" t="s">
        <v>37</v>
      </c>
      <c r="D94" s="1">
        <v>45138</v>
      </c>
      <c r="E94" t="s">
        <v>20</v>
      </c>
      <c r="F94" t="s">
        <v>21</v>
      </c>
      <c r="G94" t="s">
        <v>22</v>
      </c>
      <c r="H94" t="s">
        <v>14</v>
      </c>
      <c r="I94" t="s">
        <v>20</v>
      </c>
      <c r="J94" t="s">
        <v>20</v>
      </c>
    </row>
    <row r="95" spans="1:10" x14ac:dyDescent="0.35">
      <c r="A95" t="s">
        <v>120</v>
      </c>
      <c r="B95" t="s">
        <v>26</v>
      </c>
      <c r="C95" t="s">
        <v>16</v>
      </c>
      <c r="D95" s="1">
        <v>45108</v>
      </c>
      <c r="E95" t="s">
        <v>20</v>
      </c>
      <c r="F95" t="s">
        <v>21</v>
      </c>
      <c r="G95" t="s">
        <v>22</v>
      </c>
      <c r="H95" t="s">
        <v>14</v>
      </c>
      <c r="I95" t="s">
        <v>20</v>
      </c>
      <c r="J95" t="s">
        <v>20</v>
      </c>
    </row>
    <row r="96" spans="1:10" x14ac:dyDescent="0.35">
      <c r="A96" t="s">
        <v>121</v>
      </c>
      <c r="B96" t="s">
        <v>9</v>
      </c>
      <c r="C96" t="s">
        <v>29</v>
      </c>
      <c r="D96" s="1">
        <v>45109</v>
      </c>
      <c r="E96" t="s">
        <v>17</v>
      </c>
      <c r="F96" t="s">
        <v>12</v>
      </c>
      <c r="G96" t="s">
        <v>22</v>
      </c>
      <c r="H96" t="s">
        <v>24</v>
      </c>
      <c r="I96" t="s">
        <v>226</v>
      </c>
      <c r="J96" t="s">
        <v>17</v>
      </c>
    </row>
    <row r="97" spans="1:10" x14ac:dyDescent="0.35">
      <c r="A97" t="s">
        <v>122</v>
      </c>
      <c r="B97" t="s">
        <v>9</v>
      </c>
      <c r="C97" t="s">
        <v>49</v>
      </c>
      <c r="D97" s="1">
        <v>45110</v>
      </c>
      <c r="E97" t="s">
        <v>20</v>
      </c>
      <c r="F97" t="s">
        <v>21</v>
      </c>
      <c r="G97" t="s">
        <v>13</v>
      </c>
      <c r="H97" t="s">
        <v>14</v>
      </c>
      <c r="I97" t="s">
        <v>20</v>
      </c>
      <c r="J97" t="s">
        <v>20</v>
      </c>
    </row>
    <row r="98" spans="1:10" x14ac:dyDescent="0.35">
      <c r="A98" t="s">
        <v>123</v>
      </c>
      <c r="B98" t="s">
        <v>9</v>
      </c>
      <c r="C98" t="s">
        <v>10</v>
      </c>
      <c r="D98" s="1">
        <v>45111</v>
      </c>
      <c r="E98" t="s">
        <v>20</v>
      </c>
      <c r="F98" t="s">
        <v>12</v>
      </c>
      <c r="G98" t="s">
        <v>22</v>
      </c>
      <c r="H98" t="s">
        <v>14</v>
      </c>
      <c r="I98" t="s">
        <v>20</v>
      </c>
      <c r="J98" t="s">
        <v>20</v>
      </c>
    </row>
    <row r="99" spans="1:10" x14ac:dyDescent="0.35">
      <c r="A99" t="s">
        <v>124</v>
      </c>
      <c r="B99" t="s">
        <v>9</v>
      </c>
      <c r="C99" t="s">
        <v>49</v>
      </c>
      <c r="D99" s="1">
        <v>45112</v>
      </c>
      <c r="E99" t="s">
        <v>32</v>
      </c>
      <c r="F99" t="s">
        <v>12</v>
      </c>
      <c r="G99" t="s">
        <v>22</v>
      </c>
      <c r="H99" t="s">
        <v>14</v>
      </c>
      <c r="I99" t="s">
        <v>226</v>
      </c>
      <c r="J99" t="s">
        <v>32</v>
      </c>
    </row>
    <row r="100" spans="1:10" x14ac:dyDescent="0.35">
      <c r="A100" t="s">
        <v>125</v>
      </c>
      <c r="B100" t="s">
        <v>9</v>
      </c>
      <c r="C100" t="s">
        <v>37</v>
      </c>
      <c r="D100" s="1">
        <v>45113</v>
      </c>
      <c r="E100" t="s">
        <v>20</v>
      </c>
      <c r="F100" t="s">
        <v>21</v>
      </c>
      <c r="G100" t="s">
        <v>13</v>
      </c>
      <c r="H100" t="s">
        <v>14</v>
      </c>
      <c r="I100" t="s">
        <v>20</v>
      </c>
      <c r="J100" t="s">
        <v>20</v>
      </c>
    </row>
    <row r="101" spans="1:10" x14ac:dyDescent="0.35">
      <c r="A101" t="s">
        <v>126</v>
      </c>
      <c r="B101" t="s">
        <v>9</v>
      </c>
      <c r="C101" t="s">
        <v>29</v>
      </c>
      <c r="D101" s="1">
        <v>45114</v>
      </c>
      <c r="E101" t="s">
        <v>17</v>
      </c>
      <c r="F101" t="s">
        <v>12</v>
      </c>
      <c r="G101" t="s">
        <v>18</v>
      </c>
      <c r="H101" t="s">
        <v>24</v>
      </c>
      <c r="I101" t="s">
        <v>226</v>
      </c>
      <c r="J101" t="s">
        <v>17</v>
      </c>
    </row>
    <row r="102" spans="1:10" x14ac:dyDescent="0.35">
      <c r="A102" t="s">
        <v>127</v>
      </c>
      <c r="B102" t="s">
        <v>26</v>
      </c>
      <c r="C102" t="s">
        <v>16</v>
      </c>
      <c r="D102" s="1">
        <v>45115</v>
      </c>
      <c r="E102" t="s">
        <v>20</v>
      </c>
      <c r="F102" t="s">
        <v>21</v>
      </c>
      <c r="G102" t="s">
        <v>22</v>
      </c>
      <c r="H102" t="s">
        <v>24</v>
      </c>
      <c r="I102" t="s">
        <v>20</v>
      </c>
      <c r="J102" t="s">
        <v>20</v>
      </c>
    </row>
    <row r="103" spans="1:10" x14ac:dyDescent="0.35">
      <c r="A103" t="s">
        <v>128</v>
      </c>
      <c r="B103" t="s">
        <v>9</v>
      </c>
      <c r="C103" t="s">
        <v>37</v>
      </c>
      <c r="D103" s="1">
        <v>45116</v>
      </c>
      <c r="E103" t="s">
        <v>11</v>
      </c>
      <c r="F103" t="s">
        <v>21</v>
      </c>
      <c r="G103" t="s">
        <v>13</v>
      </c>
      <c r="H103" t="s">
        <v>14</v>
      </c>
      <c r="I103" t="s">
        <v>226</v>
      </c>
      <c r="J103" t="s">
        <v>11</v>
      </c>
    </row>
    <row r="104" spans="1:10" x14ac:dyDescent="0.35">
      <c r="A104" t="s">
        <v>129</v>
      </c>
      <c r="B104" t="s">
        <v>9</v>
      </c>
      <c r="C104" t="s">
        <v>49</v>
      </c>
      <c r="D104" s="1">
        <v>45117</v>
      </c>
      <c r="E104" t="s">
        <v>20</v>
      </c>
      <c r="F104" t="s">
        <v>21</v>
      </c>
      <c r="G104" t="s">
        <v>22</v>
      </c>
      <c r="H104" t="s">
        <v>14</v>
      </c>
      <c r="I104" t="s">
        <v>20</v>
      </c>
      <c r="J104" t="s">
        <v>20</v>
      </c>
    </row>
    <row r="105" spans="1:10" x14ac:dyDescent="0.35">
      <c r="A105" t="s">
        <v>130</v>
      </c>
      <c r="B105" t="s">
        <v>26</v>
      </c>
      <c r="C105" t="s">
        <v>49</v>
      </c>
      <c r="D105" s="1">
        <v>45118</v>
      </c>
      <c r="E105" t="s">
        <v>20</v>
      </c>
      <c r="F105" t="s">
        <v>21</v>
      </c>
      <c r="G105" t="s">
        <v>22</v>
      </c>
      <c r="H105" t="s">
        <v>14</v>
      </c>
      <c r="I105" t="s">
        <v>20</v>
      </c>
      <c r="J105" t="s">
        <v>20</v>
      </c>
    </row>
    <row r="106" spans="1:10" x14ac:dyDescent="0.35">
      <c r="A106" t="s">
        <v>131</v>
      </c>
      <c r="B106" t="s">
        <v>26</v>
      </c>
      <c r="C106" t="s">
        <v>37</v>
      </c>
      <c r="D106" s="1">
        <v>45119</v>
      </c>
      <c r="E106" t="s">
        <v>20</v>
      </c>
      <c r="F106" t="s">
        <v>12</v>
      </c>
      <c r="G106" t="s">
        <v>13</v>
      </c>
      <c r="H106" t="s">
        <v>24</v>
      </c>
      <c r="I106" t="s">
        <v>20</v>
      </c>
      <c r="J106" t="s">
        <v>20</v>
      </c>
    </row>
    <row r="107" spans="1:10" x14ac:dyDescent="0.35">
      <c r="A107" t="s">
        <v>132</v>
      </c>
      <c r="B107" t="s">
        <v>26</v>
      </c>
      <c r="C107" t="s">
        <v>10</v>
      </c>
      <c r="D107" s="1">
        <v>45120</v>
      </c>
      <c r="E107" t="s">
        <v>32</v>
      </c>
      <c r="F107" t="s">
        <v>12</v>
      </c>
      <c r="G107" t="s">
        <v>13</v>
      </c>
      <c r="H107" t="s">
        <v>24</v>
      </c>
      <c r="I107" t="s">
        <v>226</v>
      </c>
      <c r="J107" t="s">
        <v>32</v>
      </c>
    </row>
    <row r="108" spans="1:10" x14ac:dyDescent="0.35">
      <c r="A108" t="s">
        <v>133</v>
      </c>
      <c r="B108" t="s">
        <v>9</v>
      </c>
      <c r="C108" t="s">
        <v>37</v>
      </c>
      <c r="D108" s="1">
        <v>45121</v>
      </c>
      <c r="E108" t="s">
        <v>32</v>
      </c>
      <c r="F108" t="s">
        <v>12</v>
      </c>
      <c r="G108" t="s">
        <v>13</v>
      </c>
      <c r="H108" t="s">
        <v>14</v>
      </c>
      <c r="I108" t="s">
        <v>226</v>
      </c>
      <c r="J108" t="s">
        <v>32</v>
      </c>
    </row>
    <row r="109" spans="1:10" x14ac:dyDescent="0.35">
      <c r="A109" t="s">
        <v>134</v>
      </c>
      <c r="B109" t="s">
        <v>26</v>
      </c>
      <c r="C109" t="s">
        <v>37</v>
      </c>
      <c r="D109" s="1">
        <v>45122</v>
      </c>
      <c r="E109" t="s">
        <v>20</v>
      </c>
      <c r="F109" t="s">
        <v>12</v>
      </c>
      <c r="G109" t="s">
        <v>22</v>
      </c>
      <c r="H109" t="s">
        <v>14</v>
      </c>
      <c r="I109" t="s">
        <v>20</v>
      </c>
      <c r="J109" t="s">
        <v>20</v>
      </c>
    </row>
    <row r="110" spans="1:10" x14ac:dyDescent="0.35">
      <c r="A110" t="s">
        <v>135</v>
      </c>
      <c r="B110" t="s">
        <v>9</v>
      </c>
      <c r="C110" t="s">
        <v>27</v>
      </c>
      <c r="D110" s="1">
        <v>45123</v>
      </c>
      <c r="E110" t="s">
        <v>17</v>
      </c>
      <c r="F110" t="s">
        <v>21</v>
      </c>
      <c r="G110" t="s">
        <v>13</v>
      </c>
      <c r="H110" t="s">
        <v>24</v>
      </c>
      <c r="I110" t="s">
        <v>226</v>
      </c>
      <c r="J110" t="s">
        <v>17</v>
      </c>
    </row>
    <row r="111" spans="1:10" x14ac:dyDescent="0.35">
      <c r="A111" t="s">
        <v>136</v>
      </c>
      <c r="B111" t="s">
        <v>9</v>
      </c>
      <c r="C111" t="s">
        <v>10</v>
      </c>
      <c r="D111" s="1">
        <v>45124</v>
      </c>
      <c r="E111" t="s">
        <v>20</v>
      </c>
      <c r="F111" t="s">
        <v>21</v>
      </c>
      <c r="G111" t="s">
        <v>22</v>
      </c>
      <c r="H111" t="s">
        <v>14</v>
      </c>
      <c r="I111" t="s">
        <v>20</v>
      </c>
      <c r="J111" t="s">
        <v>20</v>
      </c>
    </row>
    <row r="112" spans="1:10" x14ac:dyDescent="0.35">
      <c r="A112" t="s">
        <v>137</v>
      </c>
      <c r="B112" t="s">
        <v>9</v>
      </c>
      <c r="C112" t="s">
        <v>27</v>
      </c>
      <c r="D112" s="1">
        <v>45125</v>
      </c>
      <c r="E112" t="s">
        <v>11</v>
      </c>
      <c r="F112" t="s">
        <v>12</v>
      </c>
      <c r="G112" t="s">
        <v>22</v>
      </c>
      <c r="H112" t="s">
        <v>14</v>
      </c>
      <c r="I112" t="s">
        <v>226</v>
      </c>
      <c r="J112" t="s">
        <v>11</v>
      </c>
    </row>
    <row r="113" spans="1:10" x14ac:dyDescent="0.35">
      <c r="A113" t="s">
        <v>138</v>
      </c>
      <c r="B113" t="s">
        <v>26</v>
      </c>
      <c r="C113" t="s">
        <v>16</v>
      </c>
      <c r="D113" s="1">
        <v>45126</v>
      </c>
      <c r="E113" t="s">
        <v>32</v>
      </c>
      <c r="F113" t="s">
        <v>21</v>
      </c>
      <c r="G113" t="s">
        <v>18</v>
      </c>
      <c r="H113" t="s">
        <v>24</v>
      </c>
      <c r="I113" t="s">
        <v>226</v>
      </c>
      <c r="J113" t="s">
        <v>32</v>
      </c>
    </row>
    <row r="114" spans="1:10" x14ac:dyDescent="0.35">
      <c r="A114" t="s">
        <v>139</v>
      </c>
      <c r="B114" t="s">
        <v>26</v>
      </c>
      <c r="C114" t="s">
        <v>29</v>
      </c>
      <c r="D114" s="1">
        <v>45127</v>
      </c>
      <c r="E114" t="s">
        <v>11</v>
      </c>
      <c r="F114" t="s">
        <v>12</v>
      </c>
      <c r="G114" t="s">
        <v>13</v>
      </c>
      <c r="H114" t="s">
        <v>24</v>
      </c>
      <c r="I114" t="s">
        <v>226</v>
      </c>
      <c r="J114" t="s">
        <v>11</v>
      </c>
    </row>
    <row r="115" spans="1:10" x14ac:dyDescent="0.35">
      <c r="A115" t="s">
        <v>140</v>
      </c>
      <c r="B115" t="s">
        <v>26</v>
      </c>
      <c r="C115" t="s">
        <v>29</v>
      </c>
      <c r="D115" s="1">
        <v>45128</v>
      </c>
      <c r="E115" t="s">
        <v>20</v>
      </c>
      <c r="F115" t="s">
        <v>12</v>
      </c>
      <c r="G115" t="s">
        <v>13</v>
      </c>
      <c r="H115" t="s">
        <v>24</v>
      </c>
      <c r="I115" t="s">
        <v>20</v>
      </c>
      <c r="J115" t="s">
        <v>20</v>
      </c>
    </row>
    <row r="116" spans="1:10" x14ac:dyDescent="0.35">
      <c r="A116" t="s">
        <v>141</v>
      </c>
      <c r="B116" t="s">
        <v>9</v>
      </c>
      <c r="C116" t="s">
        <v>49</v>
      </c>
      <c r="D116" s="1">
        <v>45129</v>
      </c>
      <c r="E116" t="s">
        <v>32</v>
      </c>
      <c r="F116" t="s">
        <v>21</v>
      </c>
      <c r="G116" t="s">
        <v>22</v>
      </c>
      <c r="H116" t="s">
        <v>24</v>
      </c>
      <c r="I116" t="s">
        <v>226</v>
      </c>
      <c r="J116" t="s">
        <v>32</v>
      </c>
    </row>
    <row r="117" spans="1:10" x14ac:dyDescent="0.35">
      <c r="A117" t="s">
        <v>142</v>
      </c>
      <c r="B117" t="s">
        <v>26</v>
      </c>
      <c r="C117" t="s">
        <v>10</v>
      </c>
      <c r="D117" s="1">
        <v>45130</v>
      </c>
      <c r="E117" t="s">
        <v>20</v>
      </c>
      <c r="F117" t="s">
        <v>12</v>
      </c>
      <c r="G117" t="s">
        <v>13</v>
      </c>
      <c r="H117" t="s">
        <v>14</v>
      </c>
      <c r="I117" t="s">
        <v>20</v>
      </c>
      <c r="J117" t="s">
        <v>20</v>
      </c>
    </row>
    <row r="118" spans="1:10" x14ac:dyDescent="0.35">
      <c r="A118" t="s">
        <v>143</v>
      </c>
      <c r="B118" t="s">
        <v>9</v>
      </c>
      <c r="C118" t="s">
        <v>10</v>
      </c>
      <c r="D118" s="1">
        <v>45131</v>
      </c>
      <c r="E118" t="s">
        <v>32</v>
      </c>
      <c r="F118" t="s">
        <v>21</v>
      </c>
      <c r="G118" t="s">
        <v>13</v>
      </c>
      <c r="H118" t="s">
        <v>14</v>
      </c>
      <c r="I118" t="s">
        <v>226</v>
      </c>
      <c r="J118" t="s">
        <v>32</v>
      </c>
    </row>
    <row r="119" spans="1:10" x14ac:dyDescent="0.35">
      <c r="A119" t="s">
        <v>144</v>
      </c>
      <c r="B119" t="s">
        <v>9</v>
      </c>
      <c r="C119" t="s">
        <v>49</v>
      </c>
      <c r="D119" s="1">
        <v>45132</v>
      </c>
      <c r="E119" t="s">
        <v>20</v>
      </c>
      <c r="F119" t="s">
        <v>21</v>
      </c>
      <c r="G119" t="s">
        <v>13</v>
      </c>
      <c r="H119" t="s">
        <v>14</v>
      </c>
      <c r="I119" t="s">
        <v>20</v>
      </c>
      <c r="J119" t="s">
        <v>20</v>
      </c>
    </row>
    <row r="120" spans="1:10" x14ac:dyDescent="0.35">
      <c r="A120" t="s">
        <v>145</v>
      </c>
      <c r="B120" t="s">
        <v>9</v>
      </c>
      <c r="C120" t="s">
        <v>29</v>
      </c>
      <c r="D120" s="1">
        <v>45133</v>
      </c>
      <c r="E120" t="s">
        <v>32</v>
      </c>
      <c r="F120" t="s">
        <v>12</v>
      </c>
      <c r="G120" t="s">
        <v>18</v>
      </c>
      <c r="H120" t="s">
        <v>14</v>
      </c>
      <c r="I120" t="s">
        <v>226</v>
      </c>
      <c r="J120" t="s">
        <v>32</v>
      </c>
    </row>
    <row r="121" spans="1:10" x14ac:dyDescent="0.35">
      <c r="A121" t="s">
        <v>146</v>
      </c>
      <c r="B121" t="s">
        <v>26</v>
      </c>
      <c r="C121" t="s">
        <v>10</v>
      </c>
      <c r="D121" s="1">
        <v>45134</v>
      </c>
      <c r="E121" t="s">
        <v>20</v>
      </c>
      <c r="F121" t="s">
        <v>21</v>
      </c>
      <c r="G121" t="s">
        <v>13</v>
      </c>
      <c r="H121" t="s">
        <v>14</v>
      </c>
      <c r="I121" t="s">
        <v>20</v>
      </c>
      <c r="J121" t="s">
        <v>20</v>
      </c>
    </row>
    <row r="122" spans="1:10" x14ac:dyDescent="0.35">
      <c r="A122" t="s">
        <v>147</v>
      </c>
      <c r="B122" t="s">
        <v>9</v>
      </c>
      <c r="C122" t="s">
        <v>10</v>
      </c>
      <c r="D122" s="1">
        <v>45135</v>
      </c>
      <c r="E122" t="s">
        <v>17</v>
      </c>
      <c r="F122" t="s">
        <v>21</v>
      </c>
      <c r="G122" t="s">
        <v>18</v>
      </c>
      <c r="H122" t="s">
        <v>24</v>
      </c>
      <c r="I122" t="s">
        <v>226</v>
      </c>
      <c r="J122" t="s">
        <v>17</v>
      </c>
    </row>
    <row r="123" spans="1:10" x14ac:dyDescent="0.35">
      <c r="A123" t="s">
        <v>148</v>
      </c>
      <c r="B123" t="s">
        <v>26</v>
      </c>
      <c r="C123" t="s">
        <v>27</v>
      </c>
      <c r="D123" s="1">
        <v>45136</v>
      </c>
      <c r="E123" t="s">
        <v>20</v>
      </c>
      <c r="F123" t="s">
        <v>12</v>
      </c>
      <c r="G123" t="s">
        <v>22</v>
      </c>
      <c r="H123" t="s">
        <v>14</v>
      </c>
      <c r="I123" t="s">
        <v>20</v>
      </c>
      <c r="J123" t="s">
        <v>20</v>
      </c>
    </row>
    <row r="124" spans="1:10" x14ac:dyDescent="0.35">
      <c r="A124" t="s">
        <v>149</v>
      </c>
      <c r="B124" t="s">
        <v>9</v>
      </c>
      <c r="C124" t="s">
        <v>16</v>
      </c>
      <c r="D124" s="1">
        <v>45137</v>
      </c>
      <c r="E124" t="s">
        <v>20</v>
      </c>
      <c r="F124" t="s">
        <v>12</v>
      </c>
      <c r="G124" t="s">
        <v>13</v>
      </c>
      <c r="H124" t="s">
        <v>14</v>
      </c>
      <c r="I124" t="s">
        <v>20</v>
      </c>
      <c r="J124" t="s">
        <v>20</v>
      </c>
    </row>
    <row r="125" spans="1:10" x14ac:dyDescent="0.35">
      <c r="A125" t="s">
        <v>150</v>
      </c>
      <c r="B125" t="s">
        <v>26</v>
      </c>
      <c r="C125" t="s">
        <v>10</v>
      </c>
      <c r="D125" s="1">
        <v>45138</v>
      </c>
      <c r="E125" t="s">
        <v>20</v>
      </c>
      <c r="F125" t="s">
        <v>12</v>
      </c>
      <c r="G125" t="s">
        <v>22</v>
      </c>
      <c r="H125" t="s">
        <v>14</v>
      </c>
      <c r="I125" t="s">
        <v>20</v>
      </c>
      <c r="J125" t="s">
        <v>20</v>
      </c>
    </row>
    <row r="126" spans="1:10" x14ac:dyDescent="0.35">
      <c r="A126" t="s">
        <v>151</v>
      </c>
      <c r="B126" t="s">
        <v>9</v>
      </c>
      <c r="C126" t="s">
        <v>27</v>
      </c>
      <c r="D126" s="1">
        <v>45108</v>
      </c>
      <c r="E126" t="s">
        <v>32</v>
      </c>
      <c r="F126" t="s">
        <v>21</v>
      </c>
      <c r="G126" t="s">
        <v>13</v>
      </c>
      <c r="H126" t="s">
        <v>14</v>
      </c>
      <c r="I126" t="s">
        <v>226</v>
      </c>
      <c r="J126" t="s">
        <v>32</v>
      </c>
    </row>
    <row r="127" spans="1:10" x14ac:dyDescent="0.35">
      <c r="A127" t="s">
        <v>152</v>
      </c>
      <c r="B127" t="s">
        <v>26</v>
      </c>
      <c r="C127" t="s">
        <v>10</v>
      </c>
      <c r="D127" s="1">
        <v>45109</v>
      </c>
      <c r="E127" t="s">
        <v>20</v>
      </c>
      <c r="F127" t="s">
        <v>21</v>
      </c>
      <c r="G127" t="s">
        <v>22</v>
      </c>
      <c r="H127" t="s">
        <v>24</v>
      </c>
      <c r="I127" t="s">
        <v>20</v>
      </c>
      <c r="J127" t="s">
        <v>20</v>
      </c>
    </row>
    <row r="128" spans="1:10" x14ac:dyDescent="0.35">
      <c r="A128" t="s">
        <v>153</v>
      </c>
      <c r="B128" t="s">
        <v>26</v>
      </c>
      <c r="C128" t="s">
        <v>27</v>
      </c>
      <c r="D128" s="1">
        <v>45110</v>
      </c>
      <c r="E128" t="s">
        <v>20</v>
      </c>
      <c r="F128" t="s">
        <v>12</v>
      </c>
      <c r="G128" t="s">
        <v>22</v>
      </c>
      <c r="H128" t="s">
        <v>14</v>
      </c>
      <c r="I128" t="s">
        <v>20</v>
      </c>
      <c r="J128" t="s">
        <v>20</v>
      </c>
    </row>
    <row r="129" spans="1:10" x14ac:dyDescent="0.35">
      <c r="A129" t="s">
        <v>154</v>
      </c>
      <c r="B129" t="s">
        <v>26</v>
      </c>
      <c r="C129" t="s">
        <v>10</v>
      </c>
      <c r="D129" s="1">
        <v>45111</v>
      </c>
      <c r="E129" t="s">
        <v>20</v>
      </c>
      <c r="F129" t="s">
        <v>21</v>
      </c>
      <c r="G129" t="s">
        <v>22</v>
      </c>
      <c r="H129" t="s">
        <v>24</v>
      </c>
      <c r="I129" t="s">
        <v>20</v>
      </c>
      <c r="J129" t="s">
        <v>20</v>
      </c>
    </row>
    <row r="130" spans="1:10" x14ac:dyDescent="0.35">
      <c r="A130" t="s">
        <v>155</v>
      </c>
      <c r="B130" t="s">
        <v>9</v>
      </c>
      <c r="C130" t="s">
        <v>10</v>
      </c>
      <c r="D130" s="1">
        <v>45112</v>
      </c>
      <c r="E130" t="s">
        <v>17</v>
      </c>
      <c r="F130" t="s">
        <v>21</v>
      </c>
      <c r="G130" t="s">
        <v>22</v>
      </c>
      <c r="H130" t="s">
        <v>14</v>
      </c>
      <c r="I130" t="s">
        <v>226</v>
      </c>
      <c r="J130" t="s">
        <v>17</v>
      </c>
    </row>
    <row r="131" spans="1:10" x14ac:dyDescent="0.35">
      <c r="A131" t="s">
        <v>156</v>
      </c>
      <c r="B131" t="s">
        <v>9</v>
      </c>
      <c r="C131" t="s">
        <v>29</v>
      </c>
      <c r="D131" s="1">
        <v>45113</v>
      </c>
      <c r="E131" t="s">
        <v>17</v>
      </c>
      <c r="F131" t="s">
        <v>21</v>
      </c>
      <c r="G131" t="s">
        <v>22</v>
      </c>
      <c r="H131" t="s">
        <v>24</v>
      </c>
      <c r="I131" t="s">
        <v>226</v>
      </c>
      <c r="J131" t="s">
        <v>17</v>
      </c>
    </row>
    <row r="132" spans="1:10" x14ac:dyDescent="0.35">
      <c r="A132" t="s">
        <v>157</v>
      </c>
      <c r="B132" t="s">
        <v>26</v>
      </c>
      <c r="C132" t="s">
        <v>49</v>
      </c>
      <c r="D132" s="1">
        <v>45114</v>
      </c>
      <c r="E132" t="s">
        <v>20</v>
      </c>
      <c r="F132" t="s">
        <v>21</v>
      </c>
      <c r="G132" t="s">
        <v>22</v>
      </c>
      <c r="H132" t="s">
        <v>24</v>
      </c>
      <c r="I132" t="s">
        <v>20</v>
      </c>
      <c r="J132" t="s">
        <v>20</v>
      </c>
    </row>
    <row r="133" spans="1:10" x14ac:dyDescent="0.35">
      <c r="A133" t="s">
        <v>158</v>
      </c>
      <c r="B133" t="s">
        <v>26</v>
      </c>
      <c r="C133" t="s">
        <v>29</v>
      </c>
      <c r="D133" s="1">
        <v>45115</v>
      </c>
      <c r="E133" t="s">
        <v>20</v>
      </c>
      <c r="F133" t="s">
        <v>21</v>
      </c>
      <c r="G133" t="s">
        <v>13</v>
      </c>
      <c r="H133" t="s">
        <v>14</v>
      </c>
      <c r="I133" t="s">
        <v>20</v>
      </c>
      <c r="J133" t="s">
        <v>20</v>
      </c>
    </row>
    <row r="134" spans="1:10" x14ac:dyDescent="0.35">
      <c r="A134" t="s">
        <v>159</v>
      </c>
      <c r="B134" t="s">
        <v>26</v>
      </c>
      <c r="C134" t="s">
        <v>49</v>
      </c>
      <c r="D134" s="1">
        <v>45116</v>
      </c>
      <c r="E134" t="s">
        <v>20</v>
      </c>
      <c r="F134" t="s">
        <v>12</v>
      </c>
      <c r="G134" t="s">
        <v>22</v>
      </c>
      <c r="H134" t="s">
        <v>14</v>
      </c>
      <c r="I134" t="s">
        <v>20</v>
      </c>
      <c r="J134" t="s">
        <v>20</v>
      </c>
    </row>
    <row r="135" spans="1:10" x14ac:dyDescent="0.35">
      <c r="A135" t="s">
        <v>160</v>
      </c>
      <c r="B135" t="s">
        <v>9</v>
      </c>
      <c r="C135" t="s">
        <v>16</v>
      </c>
      <c r="D135" s="1">
        <v>45117</v>
      </c>
      <c r="E135" t="s">
        <v>20</v>
      </c>
      <c r="F135" t="s">
        <v>12</v>
      </c>
      <c r="G135" t="s">
        <v>13</v>
      </c>
      <c r="H135" t="s">
        <v>14</v>
      </c>
      <c r="I135" t="s">
        <v>20</v>
      </c>
      <c r="J135" t="s">
        <v>20</v>
      </c>
    </row>
    <row r="136" spans="1:10" x14ac:dyDescent="0.35">
      <c r="A136" t="s">
        <v>161</v>
      </c>
      <c r="B136" t="s">
        <v>9</v>
      </c>
      <c r="C136" t="s">
        <v>29</v>
      </c>
      <c r="D136" s="1">
        <v>45118</v>
      </c>
      <c r="E136" t="s">
        <v>17</v>
      </c>
      <c r="F136" t="s">
        <v>21</v>
      </c>
      <c r="G136" t="s">
        <v>22</v>
      </c>
      <c r="H136" t="s">
        <v>24</v>
      </c>
      <c r="I136" t="s">
        <v>226</v>
      </c>
      <c r="J136" t="s">
        <v>17</v>
      </c>
    </row>
    <row r="137" spans="1:10" x14ac:dyDescent="0.35">
      <c r="A137" t="s">
        <v>162</v>
      </c>
      <c r="B137" t="s">
        <v>9</v>
      </c>
      <c r="C137" t="s">
        <v>16</v>
      </c>
      <c r="D137" s="1">
        <v>45119</v>
      </c>
      <c r="E137" t="s">
        <v>17</v>
      </c>
      <c r="F137" t="s">
        <v>21</v>
      </c>
      <c r="G137" t="s">
        <v>13</v>
      </c>
      <c r="H137" t="s">
        <v>14</v>
      </c>
      <c r="I137" t="s">
        <v>226</v>
      </c>
      <c r="J137" t="s">
        <v>17</v>
      </c>
    </row>
    <row r="138" spans="1:10" x14ac:dyDescent="0.35">
      <c r="A138" t="s">
        <v>163</v>
      </c>
      <c r="B138" t="s">
        <v>26</v>
      </c>
      <c r="C138" t="s">
        <v>49</v>
      </c>
      <c r="D138" s="1">
        <v>45120</v>
      </c>
      <c r="E138" t="s">
        <v>20</v>
      </c>
      <c r="F138" t="s">
        <v>21</v>
      </c>
      <c r="G138" t="s">
        <v>13</v>
      </c>
      <c r="H138" t="s">
        <v>14</v>
      </c>
      <c r="I138" t="s">
        <v>20</v>
      </c>
      <c r="J138" t="s">
        <v>20</v>
      </c>
    </row>
    <row r="139" spans="1:10" x14ac:dyDescent="0.35">
      <c r="A139" t="s">
        <v>164</v>
      </c>
      <c r="B139" t="s">
        <v>26</v>
      </c>
      <c r="C139" t="s">
        <v>27</v>
      </c>
      <c r="D139" s="1">
        <v>45121</v>
      </c>
      <c r="E139" t="s">
        <v>20</v>
      </c>
      <c r="F139" t="s">
        <v>12</v>
      </c>
      <c r="G139" t="s">
        <v>22</v>
      </c>
      <c r="H139" t="s">
        <v>14</v>
      </c>
      <c r="I139" t="s">
        <v>20</v>
      </c>
      <c r="J139" t="s">
        <v>20</v>
      </c>
    </row>
    <row r="140" spans="1:10" x14ac:dyDescent="0.35">
      <c r="A140" t="s">
        <v>165</v>
      </c>
      <c r="B140" t="s">
        <v>9</v>
      </c>
      <c r="C140" t="s">
        <v>27</v>
      </c>
      <c r="D140" s="1">
        <v>45122</v>
      </c>
      <c r="E140" t="s">
        <v>17</v>
      </c>
      <c r="F140" t="s">
        <v>21</v>
      </c>
      <c r="G140" t="s">
        <v>13</v>
      </c>
      <c r="H140" t="s">
        <v>24</v>
      </c>
      <c r="I140" t="s">
        <v>226</v>
      </c>
      <c r="J140" t="s">
        <v>17</v>
      </c>
    </row>
    <row r="141" spans="1:10" x14ac:dyDescent="0.35">
      <c r="A141" t="s">
        <v>166</v>
      </c>
      <c r="B141" t="s">
        <v>26</v>
      </c>
      <c r="C141" t="s">
        <v>27</v>
      </c>
      <c r="D141" s="1">
        <v>45123</v>
      </c>
      <c r="E141" t="s">
        <v>32</v>
      </c>
      <c r="F141" t="s">
        <v>12</v>
      </c>
      <c r="G141" t="s">
        <v>18</v>
      </c>
      <c r="H141" t="s">
        <v>24</v>
      </c>
      <c r="I141" t="s">
        <v>226</v>
      </c>
      <c r="J141" t="s">
        <v>32</v>
      </c>
    </row>
    <row r="142" spans="1:10" x14ac:dyDescent="0.35">
      <c r="A142" t="s">
        <v>167</v>
      </c>
      <c r="B142" t="s">
        <v>26</v>
      </c>
      <c r="C142" t="s">
        <v>29</v>
      </c>
      <c r="D142" s="1">
        <v>45124</v>
      </c>
      <c r="E142" t="s">
        <v>20</v>
      </c>
      <c r="F142" t="s">
        <v>21</v>
      </c>
      <c r="G142" t="s">
        <v>22</v>
      </c>
      <c r="H142" t="s">
        <v>14</v>
      </c>
      <c r="I142" t="s">
        <v>20</v>
      </c>
      <c r="J142" t="s">
        <v>20</v>
      </c>
    </row>
    <row r="143" spans="1:10" x14ac:dyDescent="0.35">
      <c r="A143" t="s">
        <v>168</v>
      </c>
      <c r="B143" t="s">
        <v>9</v>
      </c>
      <c r="C143" t="s">
        <v>10</v>
      </c>
      <c r="D143" s="1">
        <v>45125</v>
      </c>
      <c r="E143" t="s">
        <v>20</v>
      </c>
      <c r="F143" t="s">
        <v>12</v>
      </c>
      <c r="G143" t="s">
        <v>22</v>
      </c>
      <c r="H143" t="s">
        <v>14</v>
      </c>
      <c r="I143" t="s">
        <v>20</v>
      </c>
      <c r="J143" t="s">
        <v>20</v>
      </c>
    </row>
    <row r="144" spans="1:10" x14ac:dyDescent="0.35">
      <c r="A144" t="s">
        <v>169</v>
      </c>
      <c r="B144" t="s">
        <v>9</v>
      </c>
      <c r="C144" t="s">
        <v>29</v>
      </c>
      <c r="D144" s="1">
        <v>45126</v>
      </c>
      <c r="E144" t="s">
        <v>11</v>
      </c>
      <c r="F144" t="s">
        <v>12</v>
      </c>
      <c r="G144" t="s">
        <v>22</v>
      </c>
      <c r="H144" t="s">
        <v>14</v>
      </c>
      <c r="I144" t="s">
        <v>226</v>
      </c>
      <c r="J144" t="s">
        <v>11</v>
      </c>
    </row>
    <row r="145" spans="1:10" x14ac:dyDescent="0.35">
      <c r="A145" t="s">
        <v>170</v>
      </c>
      <c r="B145" t="s">
        <v>26</v>
      </c>
      <c r="C145" t="s">
        <v>16</v>
      </c>
      <c r="D145" s="1">
        <v>45127</v>
      </c>
      <c r="E145" t="s">
        <v>17</v>
      </c>
      <c r="F145" t="s">
        <v>21</v>
      </c>
      <c r="G145" t="s">
        <v>22</v>
      </c>
      <c r="H145" t="s">
        <v>24</v>
      </c>
      <c r="I145" t="s">
        <v>226</v>
      </c>
      <c r="J145" t="s">
        <v>17</v>
      </c>
    </row>
    <row r="146" spans="1:10" x14ac:dyDescent="0.35">
      <c r="A146" t="s">
        <v>171</v>
      </c>
      <c r="B146" t="s">
        <v>9</v>
      </c>
      <c r="C146" t="s">
        <v>49</v>
      </c>
      <c r="D146" s="1">
        <v>45128</v>
      </c>
      <c r="E146" t="s">
        <v>17</v>
      </c>
      <c r="F146" t="s">
        <v>21</v>
      </c>
      <c r="G146" t="s">
        <v>13</v>
      </c>
      <c r="H146" t="s">
        <v>24</v>
      </c>
      <c r="I146" t="s">
        <v>226</v>
      </c>
      <c r="J146" t="s">
        <v>17</v>
      </c>
    </row>
    <row r="147" spans="1:10" x14ac:dyDescent="0.35">
      <c r="A147" t="s">
        <v>172</v>
      </c>
      <c r="B147" t="s">
        <v>9</v>
      </c>
      <c r="C147" t="s">
        <v>10</v>
      </c>
      <c r="D147" s="1">
        <v>45129</v>
      </c>
      <c r="E147" t="s">
        <v>11</v>
      </c>
      <c r="F147" t="s">
        <v>21</v>
      </c>
      <c r="G147" t="s">
        <v>18</v>
      </c>
      <c r="H147" t="s">
        <v>24</v>
      </c>
      <c r="I147" t="s">
        <v>226</v>
      </c>
      <c r="J147" t="s">
        <v>11</v>
      </c>
    </row>
    <row r="148" spans="1:10" x14ac:dyDescent="0.35">
      <c r="A148" t="s">
        <v>173</v>
      </c>
      <c r="B148" t="s">
        <v>9</v>
      </c>
      <c r="C148" t="s">
        <v>10</v>
      </c>
      <c r="D148" s="1">
        <v>45130</v>
      </c>
      <c r="E148" t="s">
        <v>17</v>
      </c>
      <c r="F148" t="s">
        <v>12</v>
      </c>
      <c r="G148" t="s">
        <v>18</v>
      </c>
      <c r="H148" t="s">
        <v>24</v>
      </c>
      <c r="I148" t="s">
        <v>226</v>
      </c>
      <c r="J148" t="s">
        <v>17</v>
      </c>
    </row>
    <row r="149" spans="1:10" x14ac:dyDescent="0.35">
      <c r="A149" t="s">
        <v>174</v>
      </c>
      <c r="B149" t="s">
        <v>9</v>
      </c>
      <c r="C149" t="s">
        <v>27</v>
      </c>
      <c r="D149" s="1">
        <v>45131</v>
      </c>
      <c r="E149" t="s">
        <v>17</v>
      </c>
      <c r="F149" t="s">
        <v>21</v>
      </c>
      <c r="G149" t="s">
        <v>22</v>
      </c>
      <c r="H149" t="s">
        <v>14</v>
      </c>
      <c r="I149" t="s">
        <v>226</v>
      </c>
      <c r="J149" t="s">
        <v>17</v>
      </c>
    </row>
    <row r="150" spans="1:10" x14ac:dyDescent="0.35">
      <c r="A150" t="s">
        <v>175</v>
      </c>
      <c r="B150" t="s">
        <v>26</v>
      </c>
      <c r="C150" t="s">
        <v>37</v>
      </c>
      <c r="D150" s="1">
        <v>45132</v>
      </c>
      <c r="E150" t="s">
        <v>20</v>
      </c>
      <c r="F150" t="s">
        <v>21</v>
      </c>
      <c r="G150" t="s">
        <v>13</v>
      </c>
      <c r="H150" t="s">
        <v>14</v>
      </c>
      <c r="I150" t="s">
        <v>20</v>
      </c>
      <c r="J150" t="s">
        <v>20</v>
      </c>
    </row>
    <row r="151" spans="1:10" x14ac:dyDescent="0.35">
      <c r="A151" t="s">
        <v>176</v>
      </c>
      <c r="B151" t="s">
        <v>9</v>
      </c>
      <c r="C151" t="s">
        <v>27</v>
      </c>
      <c r="D151" s="1">
        <v>45133</v>
      </c>
      <c r="E151" t="s">
        <v>17</v>
      </c>
      <c r="F151" t="s">
        <v>21</v>
      </c>
      <c r="G151" t="s">
        <v>18</v>
      </c>
      <c r="H151" t="s">
        <v>14</v>
      </c>
      <c r="I151" t="s">
        <v>226</v>
      </c>
      <c r="J151" t="s">
        <v>17</v>
      </c>
    </row>
    <row r="152" spans="1:10" x14ac:dyDescent="0.35">
      <c r="A152" t="s">
        <v>177</v>
      </c>
      <c r="B152" t="s">
        <v>26</v>
      </c>
      <c r="C152" t="s">
        <v>16</v>
      </c>
      <c r="D152" s="1">
        <v>45134</v>
      </c>
      <c r="E152" t="s">
        <v>11</v>
      </c>
      <c r="F152" t="s">
        <v>12</v>
      </c>
      <c r="G152" t="s">
        <v>13</v>
      </c>
      <c r="H152" t="s">
        <v>24</v>
      </c>
      <c r="I152" t="s">
        <v>226</v>
      </c>
      <c r="J152" t="s">
        <v>11</v>
      </c>
    </row>
    <row r="153" spans="1:10" x14ac:dyDescent="0.35">
      <c r="A153" t="s">
        <v>178</v>
      </c>
      <c r="B153" t="s">
        <v>26</v>
      </c>
      <c r="C153" t="s">
        <v>27</v>
      </c>
      <c r="D153" s="1">
        <v>45135</v>
      </c>
      <c r="E153" t="s">
        <v>20</v>
      </c>
      <c r="F153" t="s">
        <v>21</v>
      </c>
      <c r="G153" t="s">
        <v>22</v>
      </c>
      <c r="H153" t="s">
        <v>14</v>
      </c>
      <c r="I153" t="s">
        <v>20</v>
      </c>
      <c r="J153" t="s">
        <v>20</v>
      </c>
    </row>
    <row r="154" spans="1:10" x14ac:dyDescent="0.35">
      <c r="A154" t="s">
        <v>179</v>
      </c>
      <c r="B154" t="s">
        <v>9</v>
      </c>
      <c r="C154" t="s">
        <v>27</v>
      </c>
      <c r="D154" s="1">
        <v>45136</v>
      </c>
      <c r="E154" t="s">
        <v>32</v>
      </c>
      <c r="F154" t="s">
        <v>21</v>
      </c>
      <c r="G154" t="s">
        <v>18</v>
      </c>
      <c r="H154" t="s">
        <v>14</v>
      </c>
      <c r="I154" t="s">
        <v>226</v>
      </c>
      <c r="J154" t="s">
        <v>32</v>
      </c>
    </row>
    <row r="155" spans="1:10" x14ac:dyDescent="0.35">
      <c r="A155" t="s">
        <v>180</v>
      </c>
      <c r="B155" t="s">
        <v>9</v>
      </c>
      <c r="C155" t="s">
        <v>49</v>
      </c>
      <c r="D155" s="1">
        <v>45137</v>
      </c>
      <c r="E155" t="s">
        <v>20</v>
      </c>
      <c r="F155" t="s">
        <v>21</v>
      </c>
      <c r="G155" t="s">
        <v>22</v>
      </c>
      <c r="H155" t="s">
        <v>14</v>
      </c>
      <c r="I155" t="s">
        <v>20</v>
      </c>
      <c r="J155" t="s">
        <v>20</v>
      </c>
    </row>
    <row r="156" spans="1:10" x14ac:dyDescent="0.35">
      <c r="A156" t="s">
        <v>181</v>
      </c>
      <c r="B156" t="s">
        <v>9</v>
      </c>
      <c r="C156" t="s">
        <v>37</v>
      </c>
      <c r="D156" s="1">
        <v>45138</v>
      </c>
      <c r="E156" t="s">
        <v>11</v>
      </c>
      <c r="F156" t="s">
        <v>12</v>
      </c>
      <c r="G156" t="s">
        <v>22</v>
      </c>
      <c r="H156" t="s">
        <v>14</v>
      </c>
      <c r="I156" t="s">
        <v>226</v>
      </c>
      <c r="J156" t="s">
        <v>11</v>
      </c>
    </row>
    <row r="157" spans="1:10" x14ac:dyDescent="0.35">
      <c r="A157" t="s">
        <v>182</v>
      </c>
      <c r="B157" t="s">
        <v>9</v>
      </c>
      <c r="C157" t="s">
        <v>27</v>
      </c>
      <c r="D157" s="1">
        <v>45108</v>
      </c>
      <c r="E157" t="s">
        <v>20</v>
      </c>
      <c r="F157" t="s">
        <v>21</v>
      </c>
      <c r="G157" t="s">
        <v>22</v>
      </c>
      <c r="H157" t="s">
        <v>14</v>
      </c>
      <c r="I157" t="s">
        <v>20</v>
      </c>
      <c r="J157" t="s">
        <v>20</v>
      </c>
    </row>
    <row r="158" spans="1:10" x14ac:dyDescent="0.35">
      <c r="A158" t="s">
        <v>183</v>
      </c>
      <c r="B158" t="s">
        <v>26</v>
      </c>
      <c r="C158" t="s">
        <v>49</v>
      </c>
      <c r="D158" s="1">
        <v>45109</v>
      </c>
      <c r="E158" t="s">
        <v>32</v>
      </c>
      <c r="F158" t="s">
        <v>21</v>
      </c>
      <c r="G158" t="s">
        <v>13</v>
      </c>
      <c r="H158" t="s">
        <v>24</v>
      </c>
      <c r="I158" t="s">
        <v>226</v>
      </c>
      <c r="J158" t="s">
        <v>32</v>
      </c>
    </row>
    <row r="159" spans="1:10" x14ac:dyDescent="0.35">
      <c r="A159" t="s">
        <v>184</v>
      </c>
      <c r="B159" t="s">
        <v>9</v>
      </c>
      <c r="C159" t="s">
        <v>29</v>
      </c>
      <c r="D159" s="1">
        <v>45110</v>
      </c>
      <c r="E159" t="s">
        <v>32</v>
      </c>
      <c r="F159" t="s">
        <v>12</v>
      </c>
      <c r="G159" t="s">
        <v>22</v>
      </c>
      <c r="H159" t="s">
        <v>14</v>
      </c>
      <c r="I159" t="s">
        <v>226</v>
      </c>
      <c r="J159" t="s">
        <v>32</v>
      </c>
    </row>
    <row r="160" spans="1:10" x14ac:dyDescent="0.35">
      <c r="A160" t="s">
        <v>185</v>
      </c>
      <c r="B160" t="s">
        <v>26</v>
      </c>
      <c r="C160" t="s">
        <v>27</v>
      </c>
      <c r="D160" s="1">
        <v>45111</v>
      </c>
      <c r="E160" t="s">
        <v>20</v>
      </c>
      <c r="F160" t="s">
        <v>21</v>
      </c>
      <c r="G160" t="s">
        <v>22</v>
      </c>
      <c r="H160" t="s">
        <v>14</v>
      </c>
      <c r="I160" t="s">
        <v>20</v>
      </c>
      <c r="J160" t="s">
        <v>20</v>
      </c>
    </row>
    <row r="161" spans="1:10" x14ac:dyDescent="0.35">
      <c r="A161" t="s">
        <v>186</v>
      </c>
      <c r="B161" t="s">
        <v>26</v>
      </c>
      <c r="C161" t="s">
        <v>49</v>
      </c>
      <c r="D161" s="1">
        <v>45112</v>
      </c>
      <c r="E161" t="s">
        <v>11</v>
      </c>
      <c r="F161" t="s">
        <v>21</v>
      </c>
      <c r="G161" t="s">
        <v>22</v>
      </c>
      <c r="H161" t="s">
        <v>24</v>
      </c>
      <c r="I161" t="s">
        <v>226</v>
      </c>
      <c r="J161" t="s">
        <v>11</v>
      </c>
    </row>
    <row r="162" spans="1:10" x14ac:dyDescent="0.35">
      <c r="A162" t="s">
        <v>187</v>
      </c>
      <c r="B162" t="s">
        <v>26</v>
      </c>
      <c r="C162" t="s">
        <v>29</v>
      </c>
      <c r="D162" s="1">
        <v>45113</v>
      </c>
      <c r="E162" t="s">
        <v>11</v>
      </c>
      <c r="F162" t="s">
        <v>12</v>
      </c>
      <c r="G162" t="s">
        <v>18</v>
      </c>
      <c r="H162" t="s">
        <v>24</v>
      </c>
      <c r="I162" t="s">
        <v>226</v>
      </c>
      <c r="J162" t="s">
        <v>11</v>
      </c>
    </row>
    <row r="163" spans="1:10" x14ac:dyDescent="0.35">
      <c r="A163" t="s">
        <v>188</v>
      </c>
      <c r="B163" t="s">
        <v>26</v>
      </c>
      <c r="C163" t="s">
        <v>37</v>
      </c>
      <c r="D163" s="1">
        <v>45114</v>
      </c>
      <c r="E163" t="s">
        <v>20</v>
      </c>
      <c r="F163" t="s">
        <v>12</v>
      </c>
      <c r="G163" t="s">
        <v>22</v>
      </c>
      <c r="H163" t="s">
        <v>14</v>
      </c>
      <c r="I163" t="s">
        <v>20</v>
      </c>
      <c r="J163" t="s">
        <v>20</v>
      </c>
    </row>
    <row r="164" spans="1:10" x14ac:dyDescent="0.35">
      <c r="A164" t="s">
        <v>189</v>
      </c>
      <c r="B164" t="s">
        <v>9</v>
      </c>
      <c r="C164" t="s">
        <v>49</v>
      </c>
      <c r="D164" s="1">
        <v>45115</v>
      </c>
      <c r="E164" t="s">
        <v>32</v>
      </c>
      <c r="F164" t="s">
        <v>12</v>
      </c>
      <c r="G164" t="s">
        <v>13</v>
      </c>
      <c r="H164" t="s">
        <v>24</v>
      </c>
      <c r="I164" t="s">
        <v>226</v>
      </c>
      <c r="J164" t="s">
        <v>32</v>
      </c>
    </row>
    <row r="165" spans="1:10" x14ac:dyDescent="0.35">
      <c r="A165" t="s">
        <v>190</v>
      </c>
      <c r="B165" t="s">
        <v>9</v>
      </c>
      <c r="C165" t="s">
        <v>27</v>
      </c>
      <c r="D165" s="1">
        <v>45116</v>
      </c>
      <c r="E165" t="s">
        <v>32</v>
      </c>
      <c r="F165" t="s">
        <v>21</v>
      </c>
      <c r="G165" t="s">
        <v>13</v>
      </c>
      <c r="H165" t="s">
        <v>14</v>
      </c>
      <c r="I165" t="s">
        <v>226</v>
      </c>
      <c r="J165" t="s">
        <v>32</v>
      </c>
    </row>
    <row r="166" spans="1:10" x14ac:dyDescent="0.35">
      <c r="A166" t="s">
        <v>191</v>
      </c>
      <c r="B166" t="s">
        <v>26</v>
      </c>
      <c r="C166" t="s">
        <v>49</v>
      </c>
      <c r="D166" s="1">
        <v>45117</v>
      </c>
      <c r="E166" t="s">
        <v>20</v>
      </c>
      <c r="F166" t="s">
        <v>21</v>
      </c>
      <c r="G166" t="s">
        <v>13</v>
      </c>
      <c r="H166" t="s">
        <v>24</v>
      </c>
      <c r="I166" t="s">
        <v>20</v>
      </c>
      <c r="J166" t="s">
        <v>20</v>
      </c>
    </row>
    <row r="167" spans="1:10" x14ac:dyDescent="0.35">
      <c r="A167" t="s">
        <v>192</v>
      </c>
      <c r="B167" t="s">
        <v>26</v>
      </c>
      <c r="C167" t="s">
        <v>37</v>
      </c>
      <c r="D167" s="1">
        <v>45118</v>
      </c>
      <c r="E167" t="s">
        <v>20</v>
      </c>
      <c r="F167" t="s">
        <v>21</v>
      </c>
      <c r="G167" t="s">
        <v>22</v>
      </c>
      <c r="H167" t="s">
        <v>24</v>
      </c>
      <c r="I167" t="s">
        <v>20</v>
      </c>
      <c r="J167" t="s">
        <v>20</v>
      </c>
    </row>
    <row r="168" spans="1:10" x14ac:dyDescent="0.35">
      <c r="A168" t="s">
        <v>193</v>
      </c>
      <c r="B168" t="s">
        <v>9</v>
      </c>
      <c r="C168" t="s">
        <v>37</v>
      </c>
      <c r="D168" s="1">
        <v>45119</v>
      </c>
      <c r="E168" t="s">
        <v>20</v>
      </c>
      <c r="F168" t="s">
        <v>21</v>
      </c>
      <c r="G168" t="s">
        <v>13</v>
      </c>
      <c r="H168" t="s">
        <v>14</v>
      </c>
      <c r="I168" t="s">
        <v>20</v>
      </c>
      <c r="J168" t="s">
        <v>20</v>
      </c>
    </row>
    <row r="169" spans="1:10" x14ac:dyDescent="0.35">
      <c r="A169" t="s">
        <v>194</v>
      </c>
      <c r="B169" t="s">
        <v>26</v>
      </c>
      <c r="C169" t="s">
        <v>49</v>
      </c>
      <c r="D169" s="1">
        <v>45120</v>
      </c>
      <c r="E169" t="s">
        <v>17</v>
      </c>
      <c r="F169" t="s">
        <v>21</v>
      </c>
      <c r="G169" t="s">
        <v>22</v>
      </c>
      <c r="H169" t="s">
        <v>24</v>
      </c>
      <c r="I169" t="s">
        <v>226</v>
      </c>
      <c r="J169" t="s">
        <v>17</v>
      </c>
    </row>
    <row r="170" spans="1:10" x14ac:dyDescent="0.35">
      <c r="A170" t="s">
        <v>195</v>
      </c>
      <c r="B170" t="s">
        <v>9</v>
      </c>
      <c r="C170" t="s">
        <v>29</v>
      </c>
      <c r="D170" s="1">
        <v>45121</v>
      </c>
      <c r="E170" t="s">
        <v>17</v>
      </c>
      <c r="F170" t="s">
        <v>12</v>
      </c>
      <c r="G170" t="s">
        <v>13</v>
      </c>
      <c r="H170" t="s">
        <v>24</v>
      </c>
      <c r="I170" t="s">
        <v>226</v>
      </c>
      <c r="J170" t="s">
        <v>17</v>
      </c>
    </row>
    <row r="171" spans="1:10" x14ac:dyDescent="0.35">
      <c r="A171" t="s">
        <v>196</v>
      </c>
      <c r="B171" t="s">
        <v>26</v>
      </c>
      <c r="C171" t="s">
        <v>27</v>
      </c>
      <c r="D171" s="1">
        <v>45122</v>
      </c>
      <c r="E171" t="s">
        <v>20</v>
      </c>
      <c r="F171" t="s">
        <v>12</v>
      </c>
      <c r="G171" t="s">
        <v>22</v>
      </c>
      <c r="H171" t="s">
        <v>24</v>
      </c>
      <c r="I171" t="s">
        <v>20</v>
      </c>
      <c r="J171" t="s">
        <v>20</v>
      </c>
    </row>
    <row r="172" spans="1:10" x14ac:dyDescent="0.35">
      <c r="A172" t="s">
        <v>197</v>
      </c>
      <c r="B172" t="s">
        <v>26</v>
      </c>
      <c r="C172" t="s">
        <v>29</v>
      </c>
      <c r="D172" s="1">
        <v>45123</v>
      </c>
      <c r="E172" t="s">
        <v>20</v>
      </c>
      <c r="F172" t="s">
        <v>12</v>
      </c>
      <c r="G172" t="s">
        <v>22</v>
      </c>
      <c r="H172" t="s">
        <v>14</v>
      </c>
      <c r="I172" t="s">
        <v>20</v>
      </c>
      <c r="J172" t="s">
        <v>20</v>
      </c>
    </row>
    <row r="173" spans="1:10" x14ac:dyDescent="0.35">
      <c r="A173" t="s">
        <v>198</v>
      </c>
      <c r="B173" t="s">
        <v>26</v>
      </c>
      <c r="C173" t="s">
        <v>37</v>
      </c>
      <c r="D173" s="1">
        <v>45124</v>
      </c>
      <c r="E173" t="s">
        <v>20</v>
      </c>
      <c r="F173" t="s">
        <v>21</v>
      </c>
      <c r="G173" t="s">
        <v>13</v>
      </c>
      <c r="H173" t="s">
        <v>14</v>
      </c>
      <c r="I173" t="s">
        <v>20</v>
      </c>
      <c r="J173" t="s">
        <v>20</v>
      </c>
    </row>
    <row r="174" spans="1:10" x14ac:dyDescent="0.35">
      <c r="A174" t="s">
        <v>199</v>
      </c>
      <c r="B174" t="s">
        <v>26</v>
      </c>
      <c r="C174" t="s">
        <v>10</v>
      </c>
      <c r="D174" s="1">
        <v>45125</v>
      </c>
      <c r="E174" t="s">
        <v>20</v>
      </c>
      <c r="F174" t="s">
        <v>12</v>
      </c>
      <c r="G174" t="s">
        <v>22</v>
      </c>
      <c r="H174" t="s">
        <v>14</v>
      </c>
      <c r="I174" t="s">
        <v>20</v>
      </c>
      <c r="J174" t="s">
        <v>20</v>
      </c>
    </row>
    <row r="175" spans="1:10" x14ac:dyDescent="0.35">
      <c r="A175" t="s">
        <v>200</v>
      </c>
      <c r="B175" t="s">
        <v>26</v>
      </c>
      <c r="C175" t="s">
        <v>49</v>
      </c>
      <c r="D175" s="1">
        <v>45126</v>
      </c>
      <c r="E175" t="s">
        <v>20</v>
      </c>
      <c r="F175" t="s">
        <v>12</v>
      </c>
      <c r="G175" t="s">
        <v>22</v>
      </c>
      <c r="H175" t="s">
        <v>14</v>
      </c>
      <c r="I175" t="s">
        <v>20</v>
      </c>
      <c r="J175" t="s">
        <v>20</v>
      </c>
    </row>
    <row r="176" spans="1:10" x14ac:dyDescent="0.35">
      <c r="A176" t="s">
        <v>201</v>
      </c>
      <c r="B176" t="s">
        <v>9</v>
      </c>
      <c r="C176" t="s">
        <v>49</v>
      </c>
      <c r="D176" s="1">
        <v>45127</v>
      </c>
      <c r="E176" t="s">
        <v>17</v>
      </c>
      <c r="F176" t="s">
        <v>12</v>
      </c>
      <c r="G176" t="s">
        <v>22</v>
      </c>
      <c r="H176" t="s">
        <v>14</v>
      </c>
      <c r="I176" t="s">
        <v>226</v>
      </c>
      <c r="J176" t="s">
        <v>17</v>
      </c>
    </row>
    <row r="177" spans="1:10" x14ac:dyDescent="0.35">
      <c r="A177" t="s">
        <v>202</v>
      </c>
      <c r="B177" t="s">
        <v>9</v>
      </c>
      <c r="C177" t="s">
        <v>10</v>
      </c>
      <c r="D177" s="1">
        <v>45128</v>
      </c>
      <c r="E177" t="s">
        <v>20</v>
      </c>
      <c r="F177" t="s">
        <v>12</v>
      </c>
      <c r="G177" t="s">
        <v>22</v>
      </c>
      <c r="H177" t="s">
        <v>14</v>
      </c>
      <c r="I177" t="s">
        <v>20</v>
      </c>
      <c r="J177" t="s">
        <v>20</v>
      </c>
    </row>
    <row r="178" spans="1:10" x14ac:dyDescent="0.35">
      <c r="A178" t="s">
        <v>203</v>
      </c>
      <c r="B178" t="s">
        <v>26</v>
      </c>
      <c r="C178" t="s">
        <v>27</v>
      </c>
      <c r="D178" s="1">
        <v>45129</v>
      </c>
      <c r="E178" t="s">
        <v>20</v>
      </c>
      <c r="F178" t="s">
        <v>21</v>
      </c>
      <c r="G178" t="s">
        <v>22</v>
      </c>
      <c r="H178" t="s">
        <v>14</v>
      </c>
      <c r="I178" t="s">
        <v>20</v>
      </c>
      <c r="J178" t="s">
        <v>20</v>
      </c>
    </row>
    <row r="179" spans="1:10" x14ac:dyDescent="0.35">
      <c r="A179" t="s">
        <v>204</v>
      </c>
      <c r="B179" t="s">
        <v>9</v>
      </c>
      <c r="C179" t="s">
        <v>29</v>
      </c>
      <c r="D179" s="1">
        <v>45130</v>
      </c>
      <c r="E179" t="s">
        <v>17</v>
      </c>
      <c r="F179" t="s">
        <v>21</v>
      </c>
      <c r="G179" t="s">
        <v>22</v>
      </c>
      <c r="H179" t="s">
        <v>24</v>
      </c>
      <c r="I179" t="s">
        <v>226</v>
      </c>
      <c r="J179" t="s">
        <v>17</v>
      </c>
    </row>
    <row r="180" spans="1:10" x14ac:dyDescent="0.35">
      <c r="A180" t="s">
        <v>205</v>
      </c>
      <c r="B180" t="s">
        <v>26</v>
      </c>
      <c r="C180" t="s">
        <v>29</v>
      </c>
      <c r="D180" s="1">
        <v>45131</v>
      </c>
      <c r="E180" t="s">
        <v>20</v>
      </c>
      <c r="F180" t="s">
        <v>12</v>
      </c>
      <c r="G180" t="s">
        <v>22</v>
      </c>
      <c r="H180" t="s">
        <v>14</v>
      </c>
      <c r="I180" t="s">
        <v>20</v>
      </c>
      <c r="J180" t="s">
        <v>20</v>
      </c>
    </row>
    <row r="181" spans="1:10" x14ac:dyDescent="0.35">
      <c r="A181" t="s">
        <v>206</v>
      </c>
      <c r="B181" t="s">
        <v>26</v>
      </c>
      <c r="C181" t="s">
        <v>37</v>
      </c>
      <c r="D181" s="1">
        <v>45132</v>
      </c>
      <c r="E181" t="s">
        <v>11</v>
      </c>
      <c r="F181" t="s">
        <v>21</v>
      </c>
      <c r="G181" t="s">
        <v>13</v>
      </c>
      <c r="H181" t="s">
        <v>24</v>
      </c>
      <c r="I181" t="s">
        <v>226</v>
      </c>
      <c r="J181" t="s">
        <v>11</v>
      </c>
    </row>
    <row r="182" spans="1:10" x14ac:dyDescent="0.35">
      <c r="A182" t="s">
        <v>207</v>
      </c>
      <c r="B182" t="s">
        <v>26</v>
      </c>
      <c r="C182" t="s">
        <v>10</v>
      </c>
      <c r="D182" s="1">
        <v>45133</v>
      </c>
      <c r="E182" t="s">
        <v>20</v>
      </c>
      <c r="F182" t="s">
        <v>12</v>
      </c>
      <c r="G182" t="s">
        <v>22</v>
      </c>
      <c r="H182" t="s">
        <v>14</v>
      </c>
      <c r="I182" t="s">
        <v>20</v>
      </c>
      <c r="J182" t="s">
        <v>20</v>
      </c>
    </row>
    <row r="183" spans="1:10" x14ac:dyDescent="0.35">
      <c r="A183" t="s">
        <v>208</v>
      </c>
      <c r="B183" t="s">
        <v>26</v>
      </c>
      <c r="C183" t="s">
        <v>37</v>
      </c>
      <c r="D183" s="1">
        <v>45134</v>
      </c>
      <c r="E183" t="s">
        <v>20</v>
      </c>
      <c r="F183" t="s">
        <v>12</v>
      </c>
      <c r="G183" t="s">
        <v>22</v>
      </c>
      <c r="H183" t="s">
        <v>14</v>
      </c>
      <c r="I183" t="s">
        <v>20</v>
      </c>
      <c r="J183" t="s">
        <v>20</v>
      </c>
    </row>
    <row r="184" spans="1:10" x14ac:dyDescent="0.35">
      <c r="A184" t="s">
        <v>209</v>
      </c>
      <c r="B184" t="s">
        <v>26</v>
      </c>
      <c r="C184" t="s">
        <v>27</v>
      </c>
      <c r="D184" s="1">
        <v>45135</v>
      </c>
      <c r="E184" t="s">
        <v>32</v>
      </c>
      <c r="F184" t="s">
        <v>21</v>
      </c>
      <c r="G184" t="s">
        <v>13</v>
      </c>
      <c r="H184" t="s">
        <v>24</v>
      </c>
      <c r="I184" t="s">
        <v>226</v>
      </c>
      <c r="J184" t="s">
        <v>32</v>
      </c>
    </row>
    <row r="185" spans="1:10" x14ac:dyDescent="0.35">
      <c r="A185" t="s">
        <v>210</v>
      </c>
      <c r="B185" t="s">
        <v>26</v>
      </c>
      <c r="C185" t="s">
        <v>27</v>
      </c>
      <c r="D185" s="1">
        <v>45136</v>
      </c>
      <c r="E185" t="s">
        <v>20</v>
      </c>
      <c r="F185" t="s">
        <v>21</v>
      </c>
      <c r="G185" t="s">
        <v>22</v>
      </c>
      <c r="H185" t="s">
        <v>14</v>
      </c>
      <c r="I185" t="s">
        <v>20</v>
      </c>
      <c r="J185" t="s">
        <v>20</v>
      </c>
    </row>
    <row r="186" spans="1:10" x14ac:dyDescent="0.35">
      <c r="A186" t="s">
        <v>211</v>
      </c>
      <c r="B186" t="s">
        <v>26</v>
      </c>
      <c r="C186" t="s">
        <v>37</v>
      </c>
      <c r="D186" s="1">
        <v>45137</v>
      </c>
      <c r="E186" t="s">
        <v>20</v>
      </c>
      <c r="F186" t="s">
        <v>12</v>
      </c>
      <c r="G186" t="s">
        <v>22</v>
      </c>
      <c r="H186" t="s">
        <v>14</v>
      </c>
      <c r="I186" t="s">
        <v>20</v>
      </c>
      <c r="J186" t="s">
        <v>20</v>
      </c>
    </row>
    <row r="187" spans="1:10" x14ac:dyDescent="0.35">
      <c r="A187" t="s">
        <v>212</v>
      </c>
      <c r="B187" t="s">
        <v>26</v>
      </c>
      <c r="C187" t="s">
        <v>27</v>
      </c>
      <c r="D187" s="1">
        <v>45138</v>
      </c>
      <c r="E187" t="s">
        <v>20</v>
      </c>
      <c r="F187" t="s">
        <v>12</v>
      </c>
      <c r="G187" t="s">
        <v>13</v>
      </c>
      <c r="H187" t="s">
        <v>14</v>
      </c>
      <c r="I187" t="s">
        <v>20</v>
      </c>
      <c r="J187" t="s">
        <v>20</v>
      </c>
    </row>
    <row r="188" spans="1:10" x14ac:dyDescent="0.35">
      <c r="A188" t="s">
        <v>213</v>
      </c>
      <c r="B188" t="s">
        <v>26</v>
      </c>
      <c r="C188" t="s">
        <v>16</v>
      </c>
      <c r="D188" s="1">
        <v>45108</v>
      </c>
      <c r="E188" t="s">
        <v>17</v>
      </c>
      <c r="F188" t="s">
        <v>21</v>
      </c>
      <c r="G188" t="s">
        <v>18</v>
      </c>
      <c r="H188" t="s">
        <v>24</v>
      </c>
      <c r="I188" t="s">
        <v>226</v>
      </c>
      <c r="J188" t="s">
        <v>17</v>
      </c>
    </row>
    <row r="189" spans="1:10" x14ac:dyDescent="0.35">
      <c r="A189" t="s">
        <v>214</v>
      </c>
      <c r="B189" t="s">
        <v>9</v>
      </c>
      <c r="C189" t="s">
        <v>10</v>
      </c>
      <c r="D189" s="1">
        <v>45109</v>
      </c>
      <c r="E189" t="s">
        <v>11</v>
      </c>
      <c r="F189" t="s">
        <v>12</v>
      </c>
      <c r="G189" t="s">
        <v>13</v>
      </c>
      <c r="H189" t="s">
        <v>24</v>
      </c>
      <c r="I189" t="s">
        <v>226</v>
      </c>
      <c r="J189" t="s">
        <v>11</v>
      </c>
    </row>
    <row r="190" spans="1:10" x14ac:dyDescent="0.35">
      <c r="A190" t="s">
        <v>215</v>
      </c>
      <c r="B190" t="s">
        <v>9</v>
      </c>
      <c r="C190" t="s">
        <v>29</v>
      </c>
      <c r="D190" s="1">
        <v>45110</v>
      </c>
      <c r="E190" t="s">
        <v>17</v>
      </c>
      <c r="F190" t="s">
        <v>21</v>
      </c>
      <c r="G190" t="s">
        <v>18</v>
      </c>
      <c r="H190" t="s">
        <v>14</v>
      </c>
      <c r="I190" t="s">
        <v>226</v>
      </c>
      <c r="J190" t="s">
        <v>17</v>
      </c>
    </row>
    <row r="191" spans="1:10" x14ac:dyDescent="0.35">
      <c r="A191" t="s">
        <v>216</v>
      </c>
      <c r="B191" t="s">
        <v>26</v>
      </c>
      <c r="C191" t="s">
        <v>16</v>
      </c>
      <c r="D191" s="1">
        <v>45111</v>
      </c>
      <c r="E191" t="s">
        <v>20</v>
      </c>
      <c r="F191" t="s">
        <v>12</v>
      </c>
      <c r="G191" t="s">
        <v>22</v>
      </c>
      <c r="H191" t="s">
        <v>14</v>
      </c>
      <c r="I191" t="s">
        <v>20</v>
      </c>
      <c r="J191" t="s">
        <v>20</v>
      </c>
    </row>
    <row r="192" spans="1:10" x14ac:dyDescent="0.35">
      <c r="A192" t="s">
        <v>217</v>
      </c>
      <c r="B192" t="s">
        <v>9</v>
      </c>
      <c r="C192" t="s">
        <v>49</v>
      </c>
      <c r="D192" s="1">
        <v>45112</v>
      </c>
      <c r="E192" t="s">
        <v>17</v>
      </c>
      <c r="F192" t="s">
        <v>12</v>
      </c>
      <c r="G192" t="s">
        <v>13</v>
      </c>
      <c r="H192" t="s">
        <v>14</v>
      </c>
      <c r="I192" t="s">
        <v>226</v>
      </c>
      <c r="J192" t="s">
        <v>17</v>
      </c>
    </row>
    <row r="193" spans="1:10" x14ac:dyDescent="0.35">
      <c r="A193" t="s">
        <v>218</v>
      </c>
      <c r="B193" t="s">
        <v>9</v>
      </c>
      <c r="C193" t="s">
        <v>29</v>
      </c>
      <c r="D193" s="1">
        <v>45113</v>
      </c>
      <c r="E193" t="s">
        <v>17</v>
      </c>
      <c r="F193" t="s">
        <v>12</v>
      </c>
      <c r="G193" t="s">
        <v>18</v>
      </c>
      <c r="H193" t="s">
        <v>24</v>
      </c>
      <c r="I193" t="s">
        <v>226</v>
      </c>
      <c r="J193" t="s">
        <v>17</v>
      </c>
    </row>
    <row r="194" spans="1:10" x14ac:dyDescent="0.35">
      <c r="A194" t="s">
        <v>219</v>
      </c>
      <c r="B194" t="s">
        <v>9</v>
      </c>
      <c r="C194" t="s">
        <v>10</v>
      </c>
      <c r="D194" s="1">
        <v>45114</v>
      </c>
      <c r="E194" t="s">
        <v>11</v>
      </c>
      <c r="F194" t="s">
        <v>21</v>
      </c>
      <c r="G194" t="s">
        <v>18</v>
      </c>
      <c r="H194" t="s">
        <v>14</v>
      </c>
      <c r="I194" t="s">
        <v>226</v>
      </c>
      <c r="J194" t="s">
        <v>11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D8610-8933-4B59-90FD-84D1578A0700}">
  <dimension ref="A1:S35"/>
  <sheetViews>
    <sheetView showGridLines="0" tabSelected="1" topLeftCell="A18" zoomScaleNormal="100" workbookViewId="0">
      <selection activeCell="K26" sqref="K26"/>
    </sheetView>
  </sheetViews>
  <sheetFormatPr defaultColWidth="0" defaultRowHeight="14.5" zeroHeight="1" x14ac:dyDescent="0.35"/>
  <cols>
    <col min="1" max="1" width="2.1796875" style="4" customWidth="1"/>
    <col min="2" max="4" width="8.7265625" customWidth="1"/>
    <col min="5" max="5" width="2.1796875" style="4" customWidth="1"/>
    <col min="6" max="6" width="8.7265625" customWidth="1"/>
    <col min="7" max="7" width="5.54296875" customWidth="1"/>
    <col min="8" max="9" width="8.7265625" customWidth="1"/>
    <col min="10" max="10" width="14.26953125" customWidth="1"/>
    <col min="11" max="11" width="2.1796875" style="4" customWidth="1"/>
    <col min="12" max="14" width="8.7265625" customWidth="1"/>
    <col min="15" max="15" width="2.1796875" style="4" customWidth="1"/>
    <col min="16" max="18" width="8.7265625" customWidth="1"/>
    <col min="19" max="19" width="2.1796875" style="4" customWidth="1"/>
    <col min="20" max="16384" width="8.7265625" hidden="1"/>
  </cols>
  <sheetData>
    <row r="1" spans="6:7" s="4" customFormat="1" ht="12" customHeight="1" x14ac:dyDescent="0.35"/>
    <row r="2" spans="6:7" x14ac:dyDescent="0.35"/>
    <row r="3" spans="6:7" x14ac:dyDescent="0.35"/>
    <row r="4" spans="6:7" x14ac:dyDescent="0.35"/>
    <row r="5" spans="6:7" x14ac:dyDescent="0.35">
      <c r="F5" s="6">
        <f>'Pivot Table-Data Summerization'!A4</f>
        <v>193</v>
      </c>
      <c r="G5" s="6"/>
    </row>
    <row r="6" spans="6:7" x14ac:dyDescent="0.35">
      <c r="F6" s="6"/>
      <c r="G6" s="6"/>
    </row>
    <row r="7" spans="6:7" x14ac:dyDescent="0.35">
      <c r="F7" s="6"/>
      <c r="G7" s="6"/>
    </row>
    <row r="8" spans="6:7" x14ac:dyDescent="0.35">
      <c r="F8" s="6"/>
      <c r="G8" s="6"/>
    </row>
    <row r="9" spans="6:7" s="4" customFormat="1" ht="12" customHeight="1" x14ac:dyDescent="0.35"/>
    <row r="10" spans="6:7" x14ac:dyDescent="0.35"/>
    <row r="11" spans="6:7" x14ac:dyDescent="0.35"/>
    <row r="12" spans="6:7" x14ac:dyDescent="0.35"/>
    <row r="13" spans="6:7" x14ac:dyDescent="0.35"/>
    <row r="14" spans="6:7" x14ac:dyDescent="0.35"/>
    <row r="15" spans="6:7" x14ac:dyDescent="0.35"/>
    <row r="16" spans="6:7" x14ac:dyDescent="0.35"/>
    <row r="17" x14ac:dyDescent="0.35"/>
    <row r="18" x14ac:dyDescent="0.35"/>
    <row r="19" x14ac:dyDescent="0.35"/>
    <row r="20" x14ac:dyDescent="0.35"/>
    <row r="21" x14ac:dyDescent="0.35"/>
    <row r="22" s="4" customFormat="1" ht="12" customHeight="1"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s="4" customFormat="1" ht="12" customHeight="1" x14ac:dyDescent="0.35"/>
  </sheetData>
  <mergeCells count="1">
    <mergeCell ref="F5:G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3973E8-C7DA-4AD9-BF85-2E38848D37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Table-Data Summerization</vt:lpstr>
      <vt:lpstr>July_2023_Sales_Dataset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Ebenezer U.</dc:creator>
  <cp:lastModifiedBy>Ebenezer U.</cp:lastModifiedBy>
  <dcterms:created xsi:type="dcterms:W3CDTF">2026-02-07T17:06:22Z</dcterms:created>
  <dcterms:modified xsi:type="dcterms:W3CDTF">2026-03-28T16:28:02Z</dcterms:modified>
</cp:coreProperties>
</file>